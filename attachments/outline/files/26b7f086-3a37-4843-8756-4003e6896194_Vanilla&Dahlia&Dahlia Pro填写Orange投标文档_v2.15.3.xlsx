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drawings/drawing2.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codeName="ThisWorkbook" defaultThemeVersion="124226"/>
  <x15ac:absPath url="C:\Users\TLTN6420\Downloads\"/>
  <bookViews>
    <workbookView activeTab="0"/>
  </bookViews>
  <sheets>
    <sheet name="Mobile Tablet template" sheetId="1" r:id="rId3"/>
    <sheet name="Listes deroulantes" sheetId="2" state="hidden" r:id="rId4"/>
    <sheet name="Information" sheetId="3" r:id="rId5"/>
    <sheet name="Version changes details" sheetId="4" r:id="rId6"/>
  </sheets>
  <definedNames>
    <definedName name="Baseband_chipset_supplier">'Listes deroulantes'!$U$2:$U$28</definedName>
    <definedName name="USB_type">'Listes deroulantes'!$W$2:$W$9</definedName>
    <definedName name="Bluetooth">'Listes deroulantes'!$V$2:$V$16</definedName>
    <definedName name="_5G_NSAcombination_5G">'Listes deroulantes'!$O$2:$O$4</definedName>
    <definedName name="Yes_No">'Listes deroulantes'!$I$2:$I$3</definedName>
    <definedName name="_5G_NSAcombination_LTE">'Listes deroulantes'!$M$2:$M$18</definedName>
    <definedName name="LTE_Category_UpLink">'Listes deroulantes'!$C$2:$C$23</definedName>
    <definedName name="USB_standard">'Listes deroulantes'!$Q$2:$Q$10</definedName>
    <definedName name="RAM">'Listes deroulantes'!$S$2:$S$18</definedName>
    <definedName name="LTE_Category_DownLink">'Listes deroulantes'!$E$2:$E$26</definedName>
    <definedName name="Spectrum_sharing">'Listes deroulantes'!$K$2:$K$4</definedName>
    <definedName name="LTE_Category">'Listes deroulantes'!$A$2:$A$32</definedName>
    <definedName name="_5G">'Listes deroulantes'!$G$2:$G$5</definedName>
  </definedNames>
  <calcPr calcId="191028"/>
</workbook>
</file>

<file path=xl/sharedStrings.xml><?xml version="1.0" encoding="utf-8"?>
<sst xmlns="http://schemas.openxmlformats.org/spreadsheetml/2006/main" count="822" uniqueCount="822">
  <si>
    <t/>
  </si>
  <si>
    <t>LTE_Category</t>
  </si>
  <si>
    <t>LTE_Category_UpLink</t>
  </si>
  <si>
    <t>LTE_Category_DownLink</t>
  </si>
  <si>
    <t>_5G</t>
  </si>
  <si>
    <t>Yes_No</t>
  </si>
  <si>
    <t>Spectrum_sharing</t>
  </si>
  <si>
    <t>_5G_NSAcombination_LTE</t>
  </si>
  <si>
    <t>_5G_NSAcombination_5G</t>
  </si>
  <si>
    <t>USB_standard</t>
  </si>
  <si>
    <t>RAM</t>
  </si>
  <si>
    <t>Baseband_chipset_supplier</t>
  </si>
  <si>
    <t>Bluetooth</t>
  </si>
  <si>
    <t>USB type</t>
  </si>
  <si>
    <t>Cat M1 (1/1)</t>
  </si>
  <si>
    <t>Cat M1 (1)</t>
  </si>
  <si>
    <t>No</t>
  </si>
  <si>
    <t>Yes</t>
  </si>
  <si>
    <t>Not supported</t>
  </si>
  <si>
    <t>5CA with 3B MIMO 4x4 + NR</t>
  </si>
  <si>
    <t>n78</t>
  </si>
  <si>
    <t>2TB</t>
  </si>
  <si>
    <t>Altair</t>
  </si>
  <si>
    <t>Cat M2 (7/4)</t>
  </si>
  <si>
    <t>Cat M2 (7)</t>
  </si>
  <si>
    <t>Cat M2 (4)</t>
  </si>
  <si>
    <t>StandAlone (opt 2) only</t>
  </si>
  <si>
    <t>Static</t>
  </si>
  <si>
    <t>5CA with 2B MIMO 4x4 + NR</t>
  </si>
  <si>
    <t>DC_FDD_n78</t>
  </si>
  <si>
    <t>4.0</t>
  </si>
  <si>
    <t>1TB</t>
  </si>
  <si>
    <t>ASR</t>
  </si>
  <si>
    <t>Version 1.0</t>
  </si>
  <si>
    <t>Type-C</t>
  </si>
  <si>
    <t>Cat NB1 (1/0.68)</t>
  </si>
  <si>
    <t>Cat 0 (1)</t>
  </si>
  <si>
    <t xml:space="preserve">Cat 0 (1) </t>
  </si>
  <si>
    <t>Non StandAlone (opt 3x)</t>
  </si>
  <si>
    <t>Dynamic</t>
  </si>
  <si>
    <t>5CA with 1B MIMO 4x4 + NR</t>
  </si>
  <si>
    <t>DC_n78_n258</t>
  </si>
  <si>
    <t>3.2</t>
  </si>
  <si>
    <t>512GB</t>
  </si>
  <si>
    <t>Broadcom</t>
  </si>
  <si>
    <t>Version 1.1</t>
  </si>
  <si>
    <t>On-The-Go</t>
  </si>
  <si>
    <t>Cat 0 (1/1)</t>
  </si>
  <si>
    <t>Cat 1bis (5)</t>
  </si>
  <si>
    <t>Cat 1bis (10)</t>
  </si>
  <si>
    <t>Non StandAlone (opt 3x) and StandAlone (opt 2)</t>
  </si>
  <si>
    <t>5CA without MIMO + NR</t>
  </si>
  <si>
    <t>3.1</t>
  </si>
  <si>
    <t>256GB</t>
  </si>
  <si>
    <t>Eigencomm</t>
  </si>
  <si>
    <t>Version 1.2</t>
  </si>
  <si>
    <t>Micro type-C 1.0</t>
  </si>
  <si>
    <t>Cat 1bis (5/10)</t>
  </si>
  <si>
    <t>Cat 3 (50)</t>
  </si>
  <si>
    <t>Cat 4 (150)</t>
  </si>
  <si>
    <t>4CA with 3B MIMO 4x4 + NR</t>
  </si>
  <si>
    <t>3.0</t>
  </si>
  <si>
    <t>128GB</t>
  </si>
  <si>
    <t>Gemalto</t>
  </si>
  <si>
    <t>Version 2.0</t>
  </si>
  <si>
    <t>Micro AB</t>
  </si>
  <si>
    <t>Cat 1 (5/10)</t>
  </si>
  <si>
    <t>Cat 5 (75)</t>
  </si>
  <si>
    <t>Cat 6 (300)</t>
  </si>
  <si>
    <t>4CA with 2B MIMO 4x4 + NR</t>
  </si>
  <si>
    <t>2.0</t>
  </si>
  <si>
    <t>64GB</t>
  </si>
  <si>
    <t>HiSilicon</t>
  </si>
  <si>
    <t>Version 2.1</t>
  </si>
  <si>
    <t>Micro B</t>
  </si>
  <si>
    <t>Cat 2 (50/50)</t>
  </si>
  <si>
    <t>Cat 7 (100)</t>
  </si>
  <si>
    <t xml:space="preserve">Cat 7 (300) </t>
  </si>
  <si>
    <t>4CA with 1B MIMO 4x4 + NR</t>
  </si>
  <si>
    <t>1.1</t>
  </si>
  <si>
    <t>32GB</t>
  </si>
  <si>
    <t>Huawei</t>
  </si>
  <si>
    <t>Version 3.0</t>
  </si>
  <si>
    <t>Micro A</t>
  </si>
  <si>
    <t>Cat 3 (50/100)</t>
  </si>
  <si>
    <t>Cat 8 (1500)</t>
  </si>
  <si>
    <t xml:space="preserve">Cat 9 (450) </t>
  </si>
  <si>
    <t>4CA without MIMO + NR</t>
  </si>
  <si>
    <t>1.0</t>
  </si>
  <si>
    <t>16GB</t>
  </si>
  <si>
    <t>Infineon</t>
  </si>
  <si>
    <t>Version 4.0</t>
  </si>
  <si>
    <t>Mini AB</t>
  </si>
  <si>
    <t>Cat 4 (50/150)</t>
  </si>
  <si>
    <t>Cat 13 (150)</t>
  </si>
  <si>
    <t xml:space="preserve">Cat 10 (450) </t>
  </si>
  <si>
    <t>3CA with 2B MIMO 4x4 + NR</t>
  </si>
  <si>
    <t>Wireless USB</t>
  </si>
  <si>
    <t>12GB</t>
  </si>
  <si>
    <t>Intel</t>
  </si>
  <si>
    <t>Version 4.1</t>
  </si>
  <si>
    <t>Cat 5 (75/300)</t>
  </si>
  <si>
    <t xml:space="preserve">Cat 14 (10000) </t>
  </si>
  <si>
    <t xml:space="preserve">Cat 11 (600) </t>
  </si>
  <si>
    <t>3CA with 1B MIMO 4x4 + NR</t>
  </si>
  <si>
    <t>8GB</t>
  </si>
  <si>
    <t>Marvell</t>
  </si>
  <si>
    <t>Version 4.2</t>
  </si>
  <si>
    <t>Cat 6 (50/300)</t>
  </si>
  <si>
    <t>Cat 15 (225)</t>
  </si>
  <si>
    <t xml:space="preserve">Cat 12 (600) </t>
  </si>
  <si>
    <t>3CA without MIMO + NR</t>
  </si>
  <si>
    <t>7GB</t>
  </si>
  <si>
    <t>Mediatek</t>
  </si>
  <si>
    <t>Version 5.0</t>
  </si>
  <si>
    <t>Cat 7 (100/300)</t>
  </si>
  <si>
    <t>Cat 16 (100)</t>
  </si>
  <si>
    <t xml:space="preserve">Cat 13 (390) </t>
  </si>
  <si>
    <t>2CA with 2B MIMO 4x4 + NR</t>
  </si>
  <si>
    <t>6GB</t>
  </si>
  <si>
    <t>Nokia</t>
  </si>
  <si>
    <t>Version 5.1</t>
  </si>
  <si>
    <t>Cat 8 (1500/3000)</t>
  </si>
  <si>
    <t>Cat 17 (2000)</t>
  </si>
  <si>
    <t xml:space="preserve">Cat 14 (390) </t>
  </si>
  <si>
    <t>2CA with 1B MIMO 4x4 + NR</t>
  </si>
  <si>
    <t>5GB</t>
  </si>
  <si>
    <t>Nordic Semiconductor</t>
  </si>
  <si>
    <t>Version 5.2</t>
  </si>
  <si>
    <t>Cat 9 (50/450)</t>
  </si>
  <si>
    <t>Cat 18 (200)</t>
  </si>
  <si>
    <t>Cat 15 (800)</t>
  </si>
  <si>
    <t>2CA without MIMO + NR</t>
  </si>
  <si>
    <t>4GB</t>
  </si>
  <si>
    <t>Nvidia</t>
  </si>
  <si>
    <t>Version 5.3</t>
  </si>
  <si>
    <t>Cat 10 (100/450)</t>
  </si>
  <si>
    <t>Cat 19 (13000)</t>
  </si>
  <si>
    <t xml:space="preserve">Cat 16 (1000) </t>
  </si>
  <si>
    <t>1CA with 2B MIMO 4x4 + NR</t>
  </si>
  <si>
    <t>3GB</t>
  </si>
  <si>
    <t>Qualcomm</t>
  </si>
  <si>
    <t>Version 5.4</t>
  </si>
  <si>
    <t>Cat 11 (50/600)</t>
  </si>
  <si>
    <t>Cat 20 (300)</t>
  </si>
  <si>
    <t>Cat 17 (25000)</t>
  </si>
  <si>
    <t>1CA with 1B MIMO 4x4 + NR</t>
  </si>
  <si>
    <t>2.5GB</t>
  </si>
  <si>
    <t>Quectel</t>
  </si>
  <si>
    <t>Cat 12 (100/600)</t>
  </si>
  <si>
    <t>Cat 21 (300)</t>
  </si>
  <si>
    <t>Cat 18 (1200)</t>
  </si>
  <si>
    <t>1CA without MIMO + NR</t>
  </si>
  <si>
    <t>2GB</t>
  </si>
  <si>
    <t>Samsung</t>
  </si>
  <si>
    <t>Cat 13 (50/400)</t>
  </si>
  <si>
    <t>Cat 22 (420)</t>
  </si>
  <si>
    <t>Cat 19 (1600)</t>
  </si>
  <si>
    <t>1.5GB</t>
  </si>
  <si>
    <t>Semtech</t>
  </si>
  <si>
    <t>Cat 14 (1500/3900)</t>
  </si>
  <si>
    <t>Cat 23 (520)</t>
  </si>
  <si>
    <t>Cat 20 (2000)</t>
  </si>
  <si>
    <t>1GB</t>
  </si>
  <si>
    <t>Sequans</t>
  </si>
  <si>
    <t>Cat 15 (100/800)</t>
  </si>
  <si>
    <t>Cat 24 (630)</t>
  </si>
  <si>
    <t>Cat 21 (1400)</t>
  </si>
  <si>
    <t>512MB</t>
  </si>
  <si>
    <t>Sierra Wireless</t>
  </si>
  <si>
    <t>Cat 16 (75/1000)</t>
  </si>
  <si>
    <t>Cat 25 (730)</t>
  </si>
  <si>
    <t>Cat 22 (2400)</t>
  </si>
  <si>
    <t>256MB</t>
  </si>
  <si>
    <t>SIMCom</t>
  </si>
  <si>
    <t>Cat 17 (2000/25000)</t>
  </si>
  <si>
    <t>Cat 26 (840)</t>
  </si>
  <si>
    <t>Cat 23 (2700)</t>
  </si>
  <si>
    <t>128MB</t>
  </si>
  <si>
    <t>Spreadtrum</t>
  </si>
  <si>
    <t>Cat 18 (200/1200)</t>
  </si>
  <si>
    <t>Cat 24 (3000)</t>
  </si>
  <si>
    <t>64MB</t>
  </si>
  <si>
    <t>STEricsson</t>
  </si>
  <si>
    <t>Cat 19 (13000/1600)</t>
  </si>
  <si>
    <t>Cat 25 (3200)</t>
  </si>
  <si>
    <t>32MB</t>
  </si>
  <si>
    <t>Telit</t>
  </si>
  <si>
    <t>Cat 20 (300/2000)</t>
  </si>
  <si>
    <t>Cat 26 (3400)</t>
  </si>
  <si>
    <t>16MB</t>
  </si>
  <si>
    <t>Unisoc</t>
  </si>
  <si>
    <t>Cat 21 (300/1400)</t>
  </si>
  <si>
    <t>8MB</t>
  </si>
  <si>
    <t>U-Blox</t>
  </si>
  <si>
    <t>Cat 22 (300/2400)</t>
  </si>
  <si>
    <t>4MB</t>
  </si>
  <si>
    <t>ZTE</t>
  </si>
  <si>
    <t>Cat 23 (300/2700)</t>
  </si>
  <si>
    <t>Cat 24 (300/3000)</t>
  </si>
  <si>
    <t>Cat 25 (300/3200)</t>
  </si>
  <si>
    <t>Cat 26 (300/3400)</t>
  </si>
  <si>
    <t>MobileTablet v2.15.3</t>
  </si>
  <si>
    <t>Alcatel</t>
  </si>
  <si>
    <t>Team</t>
  </si>
  <si>
    <t>Owner</t>
  </si>
  <si>
    <t>Vanilla (2+2MP, 2500mAh)_T452Q</t>
  </si>
  <si>
    <t>Dahlia_T450A</t>
  </si>
  <si>
    <t>Dahlia Pro_T451A</t>
  </si>
  <si>
    <t>CTR Comment</t>
  </si>
  <si>
    <t>Vanilla 结果确认</t>
  </si>
  <si>
    <t>Dahlia/Dahlia Pro 结果确认</t>
  </si>
  <si>
    <t>REMINDER: all activity on Orange systems is logged.</t>
  </si>
  <si>
    <t xml:space="preserve">© 2018 – 2025 Orange
Do not reproduce without written authorization. </t>
  </si>
  <si>
    <t>General information</t>
  </si>
  <si>
    <t>Product type</t>
  </si>
  <si>
    <t>PDM</t>
  </si>
  <si>
    <t>薛城垚</t>
  </si>
  <si>
    <t>Mobile</t>
  </si>
  <si>
    <t>OK</t>
  </si>
  <si>
    <t>Brand name</t>
  </si>
  <si>
    <t>GCF Model name (used for GCF Certification)</t>
  </si>
  <si>
    <t>认证</t>
  </si>
  <si>
    <t>杨新妮
Vanilla：朱丽开</t>
  </si>
  <si>
    <t>NO</t>
  </si>
  <si>
    <t>是目前还没有数据 还是 不做GCF认证</t>
  </si>
  <si>
    <t>Manufactured by</t>
  </si>
  <si>
    <t>Marketing samples availability</t>
  </si>
  <si>
    <t>Technical samples availability</t>
  </si>
  <si>
    <t>Expected Generic Street Launch Date (Europe &amp; AMEA market)</t>
  </si>
  <si>
    <t>Expected availability date in Orange warehouse</t>
  </si>
  <si>
    <t>GCF date</t>
  </si>
  <si>
    <t>Expected End of Life date</t>
  </si>
  <si>
    <t>Wi-Fi alliance date</t>
  </si>
  <si>
    <t>Supplier segmentation proposition</t>
  </si>
  <si>
    <t>Repairability index</t>
  </si>
  <si>
    <t>Comments</t>
  </si>
  <si>
    <t>Orange information</t>
  </si>
  <si>
    <t>Commercial name</t>
  </si>
  <si>
    <t>Vanilla</t>
  </si>
  <si>
    <t>Dahlia</t>
  </si>
  <si>
    <t>Dahlia Pro</t>
  </si>
  <si>
    <t>Orange Variant name</t>
  </si>
  <si>
    <t>Do not fill - Orange reserved</t>
  </si>
  <si>
    <t>Vanilla 4G 2-32GB</t>
  </si>
  <si>
    <t>Dahlia 4G 2-64GB</t>
  </si>
  <si>
    <t>Dahlia Pro 4G 3-64GB</t>
  </si>
  <si>
    <t xml:space="preserve"> </t>
  </si>
  <si>
    <t>Orange ODM</t>
  </si>
  <si>
    <t>Orange segmentation</t>
  </si>
  <si>
    <t>Orange MEA sub-segmentation</t>
  </si>
  <si>
    <t>Technical features</t>
  </si>
  <si>
    <t>Platform</t>
  </si>
  <si>
    <t>Hardware platform supplier</t>
  </si>
  <si>
    <t>HPM</t>
  </si>
  <si>
    <t>Vanilla：刁志明
Dahlia：白松</t>
  </si>
  <si>
    <t>Hardware platform name</t>
  </si>
  <si>
    <t>SC9863A1</t>
  </si>
  <si>
    <t>Hardware platform reference name</t>
  </si>
  <si>
    <t>Baseband chipset supplier</t>
  </si>
  <si>
    <t>Baseband chipset name</t>
  </si>
  <si>
    <t>Number of CPU Cores for Multimedia</t>
  </si>
  <si>
    <t>CPU frequencies</t>
  </si>
  <si>
    <t>1.6GHz</t>
  </si>
  <si>
    <t>Operating System and software information</t>
  </si>
  <si>
    <t>Operating System</t>
  </si>
  <si>
    <t>Android</t>
  </si>
  <si>
    <t>Operating System version</t>
  </si>
  <si>
    <t>15 Go</t>
  </si>
  <si>
    <t>Number of Android OS upgrades</t>
  </si>
  <si>
    <t>N/A</t>
  </si>
  <si>
    <t>Duration of Android OS security patch upgrades (years)</t>
  </si>
  <si>
    <t>SPM</t>
  </si>
  <si>
    <t>刘远鹏</t>
  </si>
  <si>
    <t>Frequency of Android OS security patch upgrades</t>
  </si>
  <si>
    <t>Quarterly</t>
  </si>
  <si>
    <t>Network</t>
  </si>
  <si>
    <t>2G</t>
  </si>
  <si>
    <t>EDGE</t>
  </si>
  <si>
    <t>3G</t>
  </si>
  <si>
    <t>3G HSPA</t>
  </si>
  <si>
    <t>3G HSPA+</t>
  </si>
  <si>
    <t>Fast dormancy R8</t>
  </si>
  <si>
    <t>LTE</t>
  </si>
  <si>
    <t>LTE Mode</t>
  </si>
  <si>
    <t>FDD / TDD</t>
  </si>
  <si>
    <t>LTE Category</t>
  </si>
  <si>
    <t>LTE Category DownLink</t>
  </si>
  <si>
    <t>LTE Category UpLink</t>
  </si>
  <si>
    <t>LTE voice support</t>
  </si>
  <si>
    <t>CS Fall Back</t>
  </si>
  <si>
    <t>VoIP over IMS</t>
  </si>
  <si>
    <t>SR-VCC to 2G</t>
  </si>
  <si>
    <t>SR-VCC to 3G</t>
  </si>
  <si>
    <t>LTE MIMO DownLink</t>
  </si>
  <si>
    <t>2x2</t>
  </si>
  <si>
    <t>LTE MIMO UpLink</t>
  </si>
  <si>
    <t>Maximum number of aggregated carriers</t>
  </si>
  <si>
    <t>5G</t>
  </si>
  <si>
    <t>5G SUL support</t>
  </si>
  <si>
    <t>5G Spectrum sharing</t>
  </si>
  <si>
    <t>Roaming and multiple bands</t>
  </si>
  <si>
    <t>GSM Bands</t>
  </si>
  <si>
    <t>E-GSM supported</t>
  </si>
  <si>
    <t>UMTS Bands</t>
  </si>
  <si>
    <t>Band I (2100)</t>
  </si>
  <si>
    <t>Band II (1900)</t>
  </si>
  <si>
    <t>Band IV (1700/2100)</t>
  </si>
  <si>
    <t>Band V (850)</t>
  </si>
  <si>
    <t>Band VIII (900)</t>
  </si>
  <si>
    <t>LTE Bands</t>
  </si>
  <si>
    <t>Band 1 (2100)</t>
  </si>
  <si>
    <t>Band 2 (1900)</t>
  </si>
  <si>
    <t>Band 3 (1800)</t>
  </si>
  <si>
    <t>Band 4 (1700)</t>
  </si>
  <si>
    <t>Band 5 (850)</t>
  </si>
  <si>
    <t>Band 7 (2600)</t>
  </si>
  <si>
    <t>Band 8 (900)</t>
  </si>
  <si>
    <t>Band 12 (700)</t>
  </si>
  <si>
    <t>Band 13 (700)</t>
  </si>
  <si>
    <t>Band 14 (700)</t>
  </si>
  <si>
    <t>Band 17 (700)</t>
  </si>
  <si>
    <t>Band 20 (800)</t>
  </si>
  <si>
    <t>Band 28 (700)</t>
  </si>
  <si>
    <t>Band 34 (2100 TDD)</t>
  </si>
  <si>
    <t>Band 38 (2600 TDD)</t>
  </si>
  <si>
    <t>Band 39 (1900 TDD)</t>
  </si>
  <si>
    <t>Band 40 (2300 TDD)</t>
  </si>
  <si>
    <t>Band 41 (2600 TDD)</t>
  </si>
  <si>
    <t>Band 42 (3500 TDD)</t>
  </si>
  <si>
    <t>Band 43 (3700 TDD)</t>
  </si>
  <si>
    <t>Band 46 (5500 TDD)</t>
  </si>
  <si>
    <t>Band 68 (700 TDD)</t>
  </si>
  <si>
    <t>Band 75 (1500 SDL)</t>
  </si>
  <si>
    <t>Band 76 (1500 SDL)</t>
  </si>
  <si>
    <t>5G Bands mmWave</t>
  </si>
  <si>
    <t>n257 (28000)</t>
  </si>
  <si>
    <t>n258 (26000)</t>
  </si>
  <si>
    <t>5G NSA combination LTE part (&gt;2CA)</t>
  </si>
  <si>
    <t>5G NSA combination 5G part</t>
  </si>
  <si>
    <t>Design</t>
  </si>
  <si>
    <t>Weight (g)</t>
  </si>
  <si>
    <t>MPM</t>
  </si>
  <si>
    <t>梁忠贤</t>
  </si>
  <si>
    <t>Length (mm)</t>
  </si>
  <si>
    <t>Width (mm)</t>
  </si>
  <si>
    <t>Height (mm) (Thickness)</t>
  </si>
  <si>
    <t>Form factor</t>
  </si>
  <si>
    <t>Bar</t>
  </si>
  <si>
    <t>Gyroscope</t>
  </si>
  <si>
    <t>陀螺仪</t>
  </si>
  <si>
    <t>Accelerometer</t>
  </si>
  <si>
    <t>Keyboard</t>
  </si>
  <si>
    <t>Numeric keypad only</t>
  </si>
  <si>
    <t>Ruggedised device</t>
  </si>
  <si>
    <t>Designed drop test height</t>
  </si>
  <si>
    <t>0.8m</t>
  </si>
  <si>
    <t>1.0m</t>
  </si>
  <si>
    <t>更新为1M</t>
  </si>
  <si>
    <t>Ingress Protection Rating</t>
  </si>
  <si>
    <t>IP51</t>
  </si>
  <si>
    <t>IP52</t>
  </si>
  <si>
    <t>Fingerprint or other biometric sensor</t>
  </si>
  <si>
    <t>Jack 3.5 support</t>
  </si>
  <si>
    <t>Screen</t>
  </si>
  <si>
    <t>Screen size (in inches) (diagonal)</t>
  </si>
  <si>
    <t>Display</t>
  </si>
  <si>
    <t>朱琳</t>
  </si>
  <si>
    <t>Width (px)</t>
  </si>
  <si>
    <t>Height (px)</t>
  </si>
  <si>
    <t>Display technology</t>
  </si>
  <si>
    <t>LCD - IPS</t>
  </si>
  <si>
    <t>Resolution density (PPI)</t>
  </si>
  <si>
    <t>Contrast ratio</t>
  </si>
  <si>
    <t>1200 typ</t>
  </si>
  <si>
    <t>1500 typ</t>
  </si>
  <si>
    <t>Brightness (cd/m2)</t>
  </si>
  <si>
    <t>400 typ</t>
  </si>
  <si>
    <t>Stylus</t>
  </si>
  <si>
    <t>Proximity sensor (automatic switch to idle mode screen)</t>
  </si>
  <si>
    <t>Auto brightness sensor</t>
  </si>
  <si>
    <t>SIM</t>
  </si>
  <si>
    <t>SIM support</t>
  </si>
  <si>
    <t>Multiple SIM support</t>
  </si>
  <si>
    <t>SIM card format</t>
  </si>
  <si>
    <t>4FF (nano SIM)</t>
  </si>
  <si>
    <t>Connectivity</t>
  </si>
  <si>
    <t>Wi-Fi chipset supplier</t>
  </si>
  <si>
    <t>Wi-Fi chipset name</t>
  </si>
  <si>
    <t>Wi-Fi</t>
  </si>
  <si>
    <t>802.11a</t>
  </si>
  <si>
    <t>802.11ac (5GHz)</t>
  </si>
  <si>
    <t>802.11ax (2.4GHz)</t>
  </si>
  <si>
    <t>802.11ax (5GHz)</t>
  </si>
  <si>
    <t>802.11ax (6GHz)</t>
  </si>
  <si>
    <t>802.11n (2.4GHz)</t>
  </si>
  <si>
    <t>802.11n (5GHz)</t>
  </si>
  <si>
    <t>802.11be (2.4GHz)</t>
  </si>
  <si>
    <t>802.11be (5GHz)</t>
  </si>
  <si>
    <t>802.11be (6GHz)</t>
  </si>
  <si>
    <t>EAP-SIM</t>
  </si>
  <si>
    <t>Wi-fi Direct</t>
  </si>
  <si>
    <t>Wi-Fi protected setup (Easy Pairing)</t>
  </si>
  <si>
    <t>WPS Profile</t>
  </si>
  <si>
    <t>Push Button Method</t>
  </si>
  <si>
    <t>MU-MIMO</t>
  </si>
  <si>
    <t>WIFI MIMO</t>
  </si>
  <si>
    <t>MIMO configuration</t>
  </si>
  <si>
    <t>NA</t>
  </si>
  <si>
    <t>Bluetooth Profile</t>
  </si>
  <si>
    <t>A2DP,AVRCP,HFP,PBAP,HSP,MAP,OTP,OPP,MAP,PAN</t>
  </si>
  <si>
    <t>NFC support</t>
  </si>
  <si>
    <t>NFC tag reading/writing</t>
  </si>
  <si>
    <t>UICC/SIM based card emulation</t>
  </si>
  <si>
    <t>NFC Chipset provider</t>
  </si>
  <si>
    <t>NFC Chipset name</t>
  </si>
  <si>
    <t>NFC Chipset version</t>
  </si>
  <si>
    <t>Geolocation</t>
  </si>
  <si>
    <t>GPS Standalone</t>
  </si>
  <si>
    <t>USB standard</t>
  </si>
  <si>
    <t>Tethering</t>
  </si>
  <si>
    <t>USB</t>
  </si>
  <si>
    <t>HDMI type</t>
  </si>
  <si>
    <t>Micro</t>
  </si>
  <si>
    <t>Mini</t>
  </si>
  <si>
    <t>Full</t>
  </si>
  <si>
    <t>Protocols</t>
  </si>
  <si>
    <t>IPv6</t>
  </si>
  <si>
    <t>IP supported configuration</t>
  </si>
  <si>
    <t>PDP V4</t>
  </si>
  <si>
    <t>PDP V4V6</t>
  </si>
  <si>
    <t>PDP V6</t>
  </si>
  <si>
    <t>Dual Stack</t>
  </si>
  <si>
    <t>Battery</t>
  </si>
  <si>
    <t>Voice (hours)</t>
  </si>
  <si>
    <t>Idle (hours)</t>
  </si>
  <si>
    <t>Battery capacity (mAh)</t>
  </si>
  <si>
    <t>Battery type</t>
  </si>
  <si>
    <t>Li-Ion</t>
  </si>
  <si>
    <t>Li-Poly</t>
  </si>
  <si>
    <t>Removable</t>
  </si>
  <si>
    <t>Wireless charging</t>
  </si>
  <si>
    <t>Fast Charging</t>
  </si>
  <si>
    <t>Memory storage</t>
  </si>
  <si>
    <t>Internal memory</t>
  </si>
  <si>
    <t>External memory</t>
  </si>
  <si>
    <t>Mini SD</t>
  </si>
  <si>
    <t>MS-micro</t>
  </si>
  <si>
    <t>Micro SD</t>
  </si>
  <si>
    <t>Other</t>
  </si>
  <si>
    <t>Voice &amp; HD Voice</t>
  </si>
  <si>
    <t>HD Voice support</t>
  </si>
  <si>
    <t>HD Voice on bearer</t>
  </si>
  <si>
    <t>4G</t>
  </si>
  <si>
    <t>VoLTE</t>
  </si>
  <si>
    <t>ViLTE</t>
  </si>
  <si>
    <t>Enhanced Voice Services support</t>
  </si>
  <si>
    <t>VoWi-Fi</t>
  </si>
  <si>
    <t>A5/3 support</t>
  </si>
  <si>
    <t>A5/4 support</t>
  </si>
  <si>
    <t>Messaging</t>
  </si>
  <si>
    <t>SMS support</t>
  </si>
  <si>
    <t>SMS Over IP support</t>
  </si>
  <si>
    <t>MMS support</t>
  </si>
  <si>
    <t>Best supported class</t>
  </si>
  <si>
    <t>Picture Rich</t>
  </si>
  <si>
    <t>MMS size supported</t>
  </si>
  <si>
    <t>300 kB</t>
  </si>
  <si>
    <t>Rich Communication Suite (RCS)</t>
  </si>
  <si>
    <t>Android Messages</t>
  </si>
  <si>
    <t>Main Camera</t>
  </si>
  <si>
    <t>Camera</t>
  </si>
  <si>
    <t>魏亚娇</t>
  </si>
  <si>
    <t>Integrated</t>
  </si>
  <si>
    <t>Integrated AND Autofocus</t>
  </si>
  <si>
    <t>Main number of camera</t>
  </si>
  <si>
    <t>Main Camera1 resolution (Mpx) (effective pixels only)</t>
  </si>
  <si>
    <t>Main Camera2 resolution (Mpx) (effective pixels only)</t>
  </si>
  <si>
    <t>Main Camera3 resolution (Mpx) (effective pixels only)</t>
  </si>
  <si>
    <t>Main Camera4 resolution (Mpx) (effective pixels only)</t>
  </si>
  <si>
    <t>Main Camera5 resolution (Mpx) (effective pixels only)</t>
  </si>
  <si>
    <t>Main zoom</t>
  </si>
  <si>
    <t>Digital</t>
  </si>
  <si>
    <t>Optical</t>
  </si>
  <si>
    <t>Main Camera comments</t>
  </si>
  <si>
    <t>Main Camera Features</t>
  </si>
  <si>
    <t>Main Camera video</t>
  </si>
  <si>
    <t>Lens Aperture</t>
  </si>
  <si>
    <t>f/2.4</t>
  </si>
  <si>
    <t>f/2.0</t>
  </si>
  <si>
    <t>TBD</t>
  </si>
  <si>
    <t>Optical Stabilization (OIS)</t>
  </si>
  <si>
    <t>Flash</t>
  </si>
  <si>
    <t>LED</t>
  </si>
  <si>
    <t>Selfie Camera</t>
  </si>
  <si>
    <t>Selfie number of camera</t>
  </si>
  <si>
    <t>Selfie Camera1 resolution (Mpx) (effective pixels only)</t>
  </si>
  <si>
    <t>Selfie Camera2 resolution (Mpx) (effective pixels only)</t>
  </si>
  <si>
    <t>Selfie zoom</t>
  </si>
  <si>
    <t>Selfie Camera comments</t>
  </si>
  <si>
    <t>Selfie Camera Features</t>
  </si>
  <si>
    <t>Selfie Camera video</t>
  </si>
  <si>
    <t>TV and video</t>
  </si>
  <si>
    <t>Video codec</t>
  </si>
  <si>
    <t>H.264</t>
  </si>
  <si>
    <t>MPEG-2</t>
  </si>
  <si>
    <t>MPEG4 (visual)</t>
  </si>
  <si>
    <t>Audio codec</t>
  </si>
  <si>
    <t>AMR</t>
  </si>
  <si>
    <t>HE AAC v1</t>
  </si>
  <si>
    <t>HE AAC v2</t>
  </si>
  <si>
    <t>Virtual reality support</t>
  </si>
  <si>
    <t>Device management</t>
  </si>
  <si>
    <t>OTA ActiveSync email client embedded</t>
  </si>
  <si>
    <t>更新为No</t>
  </si>
  <si>
    <t>OTA settings protocol for MMS, Browsing, Email, SyncML, ...</t>
  </si>
  <si>
    <t>OMA client Provisioning v1.1</t>
  </si>
  <si>
    <t>SAR</t>
  </si>
  <si>
    <t>SAR head (Watt/kg)</t>
  </si>
  <si>
    <t>杨新妮</t>
  </si>
  <si>
    <t>SAR body (Watt/kg)</t>
  </si>
  <si>
    <t>SAR limb - extremity (Watt/kg)</t>
  </si>
  <si>
    <t xml:space="preserve">Carbon footprint </t>
  </si>
  <si>
    <t>Orange estimation</t>
  </si>
  <si>
    <t>Production value (kg CO2e)</t>
  </si>
  <si>
    <t>Transportation value (kg CO2e)</t>
  </si>
  <si>
    <t>Eco Rating evaluation</t>
  </si>
  <si>
    <t>Eco Rating release version</t>
  </si>
  <si>
    <t>PA</t>
  </si>
  <si>
    <t>贺娟</t>
  </si>
  <si>
    <t>R05</t>
  </si>
  <si>
    <t>Adjustment for memory variant (kg CO2e)</t>
  </si>
  <si>
    <t>贺娟-TBD</t>
  </si>
  <si>
    <t>Manufacturer evaluation</t>
  </si>
  <si>
    <t>Destination</t>
  </si>
  <si>
    <t>MEA</t>
  </si>
  <si>
    <t>Factory audit</t>
  </si>
  <si>
    <t>Production Factory 1</t>
  </si>
  <si>
    <t>Production factory name</t>
  </si>
  <si>
    <t>Production factory location</t>
  </si>
  <si>
    <t>Date of last MPA audit</t>
  </si>
  <si>
    <t>Note MPA audit</t>
  </si>
  <si>
    <t>Date of last CSR audit</t>
  </si>
  <si>
    <t>Note CSR audit</t>
  </si>
  <si>
    <t>Production Factory 2</t>
  </si>
  <si>
    <t>Production Factory 3</t>
  </si>
  <si>
    <t>MobileTablet template v2.15.3 - 4/3/2025 (G12R01 - Nuxeo Version 2.11.3)</t>
  </si>
  <si>
    <t>new field Added</t>
  </si>
  <si>
    <t>field Modified</t>
  </si>
  <si>
    <t>field Deleted</t>
  </si>
  <si>
    <t xml:space="preserve">New value : Eigencomm </t>
  </si>
  <si>
    <t>MobileTablet template v2.15.2 - 13/03/2025</t>
  </si>
  <si>
    <t>Formula Change :
- case of duplicate on network treated</t>
  </si>
  <si>
    <t>MobileTablet template v2.15.1 - 07/03/2025</t>
  </si>
  <si>
    <t>Formula Change :
- case Wi-FI only</t>
  </si>
  <si>
    <t>MobileTablet template v2.15.0 - 13/11/2024</t>
  </si>
  <si>
    <t>Formula Change :
- Network before RAM
- RAM and Internal Memory separated by "-"</t>
  </si>
  <si>
    <t>MobileTablet template v2.14.1 - 03/09/2024</t>
  </si>
  <si>
    <t>MobileTablet template v2.14.0 - 11/04/2024</t>
  </si>
  <si>
    <t>MobileTablet template v2.13.3 - 25/06/2024</t>
  </si>
  <si>
    <t>New Value : ASR</t>
  </si>
  <si>
    <t>MobileTablet template v2.13.2 - 22/05/2024</t>
  </si>
  <si>
    <t>New Values : 2TB, 1TB, 512GB, 256GB, 128GB, 64GB, 16MB, 8MB, 4MB</t>
  </si>
  <si>
    <t>MobileTablet template v2.13.1 - 08/04/2024</t>
  </si>
  <si>
    <t>See Comments colomn</t>
  </si>
  <si>
    <t>By setting the 2G parameter to No (E38), many cells remained grayed out, even though they are not correlated with 2G support. Solved with this version.</t>
  </si>
  <si>
    <t>MobileTablet template v2.13.0 - 26/03/2024</t>
  </si>
  <si>
    <t>MobileTablet template v2.12.6 - 18/10/2023</t>
  </si>
  <si>
    <t>New Value : Version 5.4</t>
  </si>
  <si>
    <t>MobileTablet template v2.12.5 - 05/06/2023</t>
  </si>
  <si>
    <t>MobileTablet template v2.12.4</t>
  </si>
  <si>
    <t>Value : free text instead of numeric format</t>
  </si>
  <si>
    <t>MobileTablet template v2.12.3</t>
  </si>
  <si>
    <t>New value: 
ZTE</t>
  </si>
  <si>
    <t>MobileTablet template v2.12.2</t>
  </si>
  <si>
    <t>New value: 
ASR</t>
  </si>
  <si>
    <t xml:space="preserve"> MobileTablet template v2.12.1</t>
  </si>
  <si>
    <t>New values : 
Nordic Semiconductor
Semtech</t>
  </si>
  <si>
    <t xml:space="preserve"> MobileTablet template v2.12</t>
  </si>
  <si>
    <t xml:space="preserve">Main Camera resolution (Mpx) (effective pixels only) 
</t>
  </si>
  <si>
    <t>Replaced by Main Camera1 resolution (Mpx) (effective pixels only)</t>
  </si>
  <si>
    <t xml:space="preserve">Selfie Camera resolution (Mpx) (effective pixels only) 
</t>
  </si>
  <si>
    <t>Replaced by Selfie Camera1 resolution (Mpx) (effective pixels only)</t>
  </si>
  <si>
    <t xml:space="preserve"> MobileTablet template v2.11</t>
  </si>
  <si>
    <t>New values :
2CA with 2B MIMO 4x4 + NR
2CA with 1B MIMO 4x4 + NR
2CA without MIMO + NR
1CA with 2B MIMO 4x4 + NR
1CA with 1B MIMO 4x4 + NR
1CA without MIMO + NR</t>
  </si>
  <si>
    <t>New values :
Cat 22 (2400)
Cat 23 (2700)
Cat 24 (3000)
Cat 25 (3200)
Cat 26 (3400)</t>
  </si>
  <si>
    <t>New values :
Cat 22 (420)
Cat 23 (520)
Cat 24 (630)
Cat 25 (730)
Cat 26 (840)</t>
  </si>
  <si>
    <t>Deleted values :
PIN code Method</t>
  </si>
  <si>
    <t xml:space="preserve"> MobileTablet template v2.10</t>
  </si>
  <si>
    <t>New valeurs : 3.2</t>
  </si>
  <si>
    <t>USB Type</t>
  </si>
  <si>
    <t>New valeurs : Type-C, On-The-Go</t>
  </si>
  <si>
    <t>New valeurs : Bluetooth 5.3</t>
  </si>
  <si>
    <t xml:space="preserve"> MobileTablet template v2.9</t>
  </si>
  <si>
    <t>New valeurs : Bluetooth 5.1 &amp; Bluetooth 5.2</t>
  </si>
  <si>
    <t xml:space="preserve"> MobileTablet template v2.8</t>
  </si>
  <si>
    <t>Value 1.5GB, 2.5GB added</t>
  </si>
  <si>
    <t xml:space="preserve"> MobileTablet template v2.7</t>
  </si>
  <si>
    <t>Value 8GB+ deleted
Value 8GB added</t>
  </si>
  <si>
    <t xml:space="preserve"> MobileTablet template v2.6</t>
  </si>
  <si>
    <t xml:space="preserve">Repairability index
MU-MIMO
MIMO configuration
SAR limb - extremity (Watt/kg)
Ecorating Score (global score) 
Durability 
Repairability/reusability/Upgradeability
Reciclability and recoverability
Use of hazardous &amp; restricted substances
Recycled materials content
Waste packaging and accesories
Low climate change
Low resources use
Production factory name
Production factory location
Date of last MPA audit
Note MPA audit
Date of last CSR audit
Note CSR audit
</t>
  </si>
  <si>
    <t>Hardware platform supplier : Unisoc value has been added</t>
  </si>
  <si>
    <t>Full explanation on Information index tab</t>
  </si>
  <si>
    <t xml:space="preserve"> MobileTablet template v2.5</t>
  </si>
  <si>
    <t xml:space="preserve">Values have been updated for following fields
USB Standard : 4.0
Internal Memory : 1TB ;  2TB
</t>
  </si>
  <si>
    <t xml:space="preserve"> MobileTablet template v2.4</t>
  </si>
  <si>
    <t>Value : free text</t>
  </si>
  <si>
    <t>Value :  No, Yes, blank</t>
  </si>
  <si>
    <t xml:space="preserve"> MobileTablet template v2.3</t>
  </si>
  <si>
    <t>5G Bands Sub6 - 
n1 (2100) 
n3 (1800)
n7 (2600)
n20 (800)
n28 (700)
n78 (3500)</t>
  </si>
  <si>
    <t>5G Bands Sub6 has been deleted, 5G Bands DSS information
has been taken into account in  Oxygen system based on SI Oxygen - Template Export_Import_Orange Bands_5G_DSS
as required by Orange Techno manager for countries</t>
  </si>
  <si>
    <t xml:space="preserve"> MobileTablet template v2.2</t>
  </si>
  <si>
    <t xml:space="preserve"> MobileTablet template v2.1</t>
  </si>
  <si>
    <t>LTE_Category
LTE_Category_UpLink
LTE_Category_DownLink
some values have been updated in agreement with Orange Technology team</t>
  </si>
  <si>
    <t xml:space="preserve"> MobileTablet template v2.0</t>
  </si>
  <si>
    <t>None</t>
  </si>
  <si>
    <t>Définition - Explanation</t>
  </si>
  <si>
    <t>Manufacturer name  : Mandatory field  - Automatic filled-in if uploaded by the Manufacturer ELSE to be filled-in, 1st letter must be in Capital letter.</t>
  </si>
  <si>
    <t>Product type - Mandatory field - Drop down menu</t>
  </si>
  <si>
    <t>Brand name - Mandatory field - Free text</t>
  </si>
  <si>
    <t>GCF Model name (used for GCF Certification) - Free text</t>
  </si>
  <si>
    <t>Address location where the product will be built - Free text</t>
  </si>
  <si>
    <t>Marketing samples availability - dd/mm/yyyy</t>
  </si>
  <si>
    <t>Technical samples availability - dd/mm/yyyy</t>
  </si>
  <si>
    <t>Expected Generic Street Launch Date  - dd/mm/yyyy</t>
  </si>
  <si>
    <t>Expected availability date in Orange warehouse  - dd/mm/yyyy</t>
  </si>
  <si>
    <t>GCF date - dd/mm/yyyy</t>
  </si>
  <si>
    <t>Expected End of Life date - dd/mm/yyyy</t>
  </si>
  <si>
    <t>Wi-Fi alliance date - dd/mm/yyyy</t>
  </si>
  <si>
    <t>Supplier segmentation proposition - Drop down menu</t>
  </si>
  <si>
    <t>Repairability index - Numeric range from 0,00 to 1000,00</t>
  </si>
  <si>
    <t>Comments - Free text</t>
  </si>
  <si>
    <t>Do not fill -  Orange reserved</t>
  </si>
  <si>
    <t>Hardware platform supplier - Mandatory field - Drop down menu</t>
  </si>
  <si>
    <t>Hardware platform name - Free text</t>
  </si>
  <si>
    <t>Baseband chipset supplier- Drop down menu</t>
  </si>
  <si>
    <t>Baseband chipset name - Free text</t>
  </si>
  <si>
    <t>Number of CPU Cores for Multimedia- Drop down menu</t>
  </si>
  <si>
    <t>CPU frequencies - Free text</t>
  </si>
  <si>
    <t>Operating System version - Free text decimal</t>
  </si>
  <si>
    <t>Number of Android OS upgrades - Free text Integer</t>
  </si>
  <si>
    <t>Duration of Android OS security patch upgrades (years) - Free text Integer</t>
  </si>
  <si>
    <t>Frequency of Android OS security patch upgrades -  Drop down menu</t>
  </si>
  <si>
    <t>2G - Drop down menu</t>
  </si>
  <si>
    <t>3G HSPA - Drop down menu</t>
  </si>
  <si>
    <t>LTE - Mandatory field - Used for Risk assessment tool - Drop down menu</t>
  </si>
  <si>
    <t>LTE mode - Drop down menu</t>
  </si>
  <si>
    <t>LTE Category DownLink - Drop down menu</t>
  </si>
  <si>
    <t>LTE Category UpLink - Drop down menu</t>
  </si>
  <si>
    <t>LTE voice support - Drop down menu</t>
  </si>
  <si>
    <t>LTE MIMO DownLink - Drop down menu</t>
  </si>
  <si>
    <t>LTE MIMO UpLink - Drop down menu</t>
  </si>
  <si>
    <t>Maximum number of aggregated carriers - Drop down menu</t>
  </si>
  <si>
    <t>5G - Mandatory field - Used for Risk assessment tool - Drop down menu</t>
  </si>
  <si>
    <t>5G SUL support - Drop down menu</t>
  </si>
  <si>
    <t>Weight (g) - numeric format expected - for instance 999,99 maximum</t>
  </si>
  <si>
    <t>Length (mm) -numeric format expected - for instance 999,99 maximum</t>
  </si>
  <si>
    <t>Width (mm) - numeric format expected - for instance 999,99 maximum</t>
  </si>
  <si>
    <t>Height (mm) (Thickness) - numeric format expected - for instance 999,99 maximum</t>
  </si>
  <si>
    <t>Form factor - Drop down menu</t>
  </si>
  <si>
    <t>Gyroscope - Drop down menu</t>
  </si>
  <si>
    <t>Accelerometer - Drop down menu</t>
  </si>
  <si>
    <t>Keyboard - Drop down menu</t>
  </si>
  <si>
    <t>Ruggedised device - Drop down menu</t>
  </si>
  <si>
    <t>Designed drop test height - Drop down menu</t>
  </si>
  <si>
    <t>Ingress Protection Rating - Drop down menu</t>
  </si>
  <si>
    <t>Fingerprint or other biometric sensor - Drop down menu</t>
  </si>
  <si>
    <t>Jack 3.5 support - Drop down menu</t>
  </si>
  <si>
    <t>Dahlia 6.157"</t>
  </si>
  <si>
    <t>Width (px) - 576</t>
  </si>
  <si>
    <t>Height (px) - 1280</t>
  </si>
  <si>
    <t>Display technology - TFT LCD</t>
  </si>
  <si>
    <t>Resolution density (PPI) - 215</t>
  </si>
  <si>
    <t>Contrast ratio - 1500 typ</t>
  </si>
  <si>
    <t>Brightness (cd/m2) - 400 typ</t>
  </si>
  <si>
    <t>Stylus - Drop down menu</t>
  </si>
  <si>
    <t>Proximity sensor - Drop down menu</t>
  </si>
  <si>
    <t>Auto brightness sensor - Drop down menu</t>
  </si>
  <si>
    <t>SIM support - Drop down menu</t>
  </si>
  <si>
    <t>SIM card format - Drop down menu</t>
  </si>
  <si>
    <t>Wi-Fi chipset supplier- Drop down menu</t>
  </si>
  <si>
    <t>Wi-Fi chipset name - Free text</t>
  </si>
  <si>
    <t>Wi-Fi - Drop down menu</t>
  </si>
  <si>
    <t>Wi-Fi protected setup (Easy Pairing) - Drop down menu</t>
  </si>
  <si>
    <t>WPS Profile - Drop down menu</t>
  </si>
  <si>
    <t>MU-MIMO - Drop down menu</t>
  </si>
  <si>
    <t>MIMO configuration - Drop down menu</t>
  </si>
  <si>
    <t>Bluetooth - Drop down menu</t>
  </si>
  <si>
    <t>Bluetooth Profile -  Free text</t>
  </si>
  <si>
    <t>NFC tag reading/writing - Drop down menu</t>
  </si>
  <si>
    <t>UICC/SIM based card emulation - Drop down menu</t>
  </si>
  <si>
    <t>NFC Chipset provider -  Free text</t>
  </si>
  <si>
    <t>NFC Chipset name -  Free text</t>
  </si>
  <si>
    <t>NFC Chipset version -  Free text</t>
  </si>
  <si>
    <t>USB standard - Drop down menu</t>
  </si>
  <si>
    <t>USB type - Drop down menu</t>
  </si>
  <si>
    <t>Tethering - Drop down menu</t>
  </si>
  <si>
    <t>HDMI type - Drop down menu</t>
  </si>
  <si>
    <t>IP supported configuration - Drop down menu</t>
  </si>
  <si>
    <t>Voice (hours) - Free Text</t>
  </si>
  <si>
    <t>Idle (hours) - Free Text</t>
  </si>
  <si>
    <t>Battery capacity (mAh) -  Integer size 5 is expected  else will be rejected by the system</t>
  </si>
  <si>
    <t>Battery type - Drop down menu</t>
  </si>
  <si>
    <t>Removable - Drop down menu</t>
  </si>
  <si>
    <t>Wireless charging - Drop down menu</t>
  </si>
  <si>
    <t>Fast Charging - Drop down menu</t>
  </si>
  <si>
    <t>Internal memory - Mandatory field - Drop down menu</t>
  </si>
  <si>
    <t>External memory - Drop down menu</t>
  </si>
  <si>
    <t>RAM - Mandatory field - Drop down menu</t>
  </si>
  <si>
    <t>HD Voice on bearer - Drop down menu</t>
  </si>
  <si>
    <t>VoLTE - Drop down menu</t>
  </si>
  <si>
    <t>ViLTE - Drop down menu</t>
  </si>
  <si>
    <t>Enhanced Voice Services support - Drop down menu</t>
  </si>
  <si>
    <t>VoWi-Fi - Drop down menu</t>
  </si>
  <si>
    <t>A5/4 support - Drop down menu</t>
  </si>
  <si>
    <t>MMS size supported - Drop down menu</t>
  </si>
  <si>
    <t>Main Camera - Mandatory  - Used for Risk assessment tool - Drop down menu</t>
  </si>
  <si>
    <t>Main number of camera - Drop down menu</t>
  </si>
  <si>
    <t>Main Camera1 resolution (Mpx) (effective pixels only) - numeric format expected - for instance 999,99</t>
  </si>
  <si>
    <t>Main Camera2 resolution (Mpx) (effective pixels only) - numeric format expected - for instance  999,99</t>
  </si>
  <si>
    <t>Main Camera3 resolution (Mpx) (effective pixels only) - numeric format expected - for instance  999,99</t>
  </si>
  <si>
    <t>Main Camera4 resolution (Mpx) (effective pixels only) - numeric format expected - for instance  999,99</t>
  </si>
  <si>
    <t>Main Camera5 resolution (Mpx) (effective pixels only) - numeric format expected - for instance  999,99</t>
  </si>
  <si>
    <t>Main zoom - Drop down menu</t>
  </si>
  <si>
    <t>Main Camera comments  - Free text</t>
  </si>
  <si>
    <t>Main Camera Features  - Free text</t>
  </si>
  <si>
    <t>Main Camera video  - Free text</t>
  </si>
  <si>
    <t>Lens Aperture - Drop down menu</t>
  </si>
  <si>
    <t>Optical Stabilization (OIS) - Drop down menu</t>
  </si>
  <si>
    <t>Flash - Drop down menu</t>
  </si>
  <si>
    <t>Selfie Camera - Drop down menu</t>
  </si>
  <si>
    <t>Selfie number of camera - Drop down menu</t>
  </si>
  <si>
    <t>Selfie Camera1 resolution (Mpx) (effective pixels only) - numeric format expected - for instance  999,99</t>
  </si>
  <si>
    <t>Selfie Camera2 resolution (Mpx) (effective pixels only) - numeric format expected - for instance  999,99</t>
  </si>
  <si>
    <t>Front zoom - Drop down menu</t>
  </si>
  <si>
    <t>Selfie Camera comments  - Free text</t>
  </si>
  <si>
    <t>Selfie Camera Features  - Free text</t>
  </si>
  <si>
    <t>Selfie Camera video  - Free text</t>
  </si>
  <si>
    <t>Video codec - Drop down menu</t>
  </si>
  <si>
    <t>Audio codec - Drop down menu</t>
  </si>
  <si>
    <t>Virtual reality support - Drop down menu</t>
  </si>
  <si>
    <t>OTA settings protocol for MMS, Browsing, Email, SyncML, ... support - Drop down menu</t>
  </si>
  <si>
    <t xml:space="preserve">SAR head (Watt/kg) - numeric value expected else will be rejected by the system size 3,2 max </t>
  </si>
  <si>
    <t xml:space="preserve">SAR body (Watt/kg) - numeric value expected else will be rejected by the system size 3,2 max </t>
  </si>
  <si>
    <t xml:space="preserve">SAR limb - extremity  (Watt/kg) - numeric value expected else will be rejected by the system size 3,2 max </t>
  </si>
  <si>
    <t>Production value (kg CO2e) - numeric - Range : 0&lt;99,99&lt;100</t>
  </si>
  <si>
    <t>Transportation value (kg CO2e) - numeric - Range : 0&lt;99,99&lt;100</t>
  </si>
  <si>
    <t>Eco Rating release version - Drop down menu</t>
  </si>
  <si>
    <t>Adjustment for memory variant (kg CO2e) - numeric (positive or negative) - Range : -100,99&lt;=Value expected&lt;=100,99</t>
  </si>
  <si>
    <t>Destination - Drop down menu</t>
  </si>
  <si>
    <t>Factory 1</t>
  </si>
  <si>
    <t>Production factory name - text free</t>
  </si>
  <si>
    <t>Production factory location - text free</t>
  </si>
  <si>
    <t xml:space="preserve">Date of last MPA audit
 </t>
  </si>
  <si>
    <t>Date of last MPA audit - Date</t>
  </si>
  <si>
    <t>Note MPA audit - Numeric range expected from 0,00 to 999,99</t>
  </si>
  <si>
    <t>Date of last CSR audit - Date</t>
  </si>
  <si>
    <t>Note CSR audit - Numeric range expected from 0,00 to 999,99</t>
  </si>
  <si>
    <t>Factory 2</t>
  </si>
  <si>
    <t>Factory 3</t>
  </si>
  <si>
    <r>
      <rPr>
        <rFont val="Arial"/>
        <b val="true"/>
        <i val="false"/>
        <strike val="false"/>
        <color rgb="FFFF0000"/>
        <sz val="8"/>
        <u val="none"/>
      </rPr>
      <t xml:space="preserve">备注：Vanilla：高程跌落0.8m 滚筒0.5m； </t>
    </r>
    <r>
      <rPr>
        <rFont val="Arial"/>
        <b val="true"/>
        <i val="false"/>
        <strike val="false"/>
        <color rgb="FF000000"/>
        <sz val="8"/>
        <u val="none"/>
      </rPr>
      <t xml:space="preserve">
dahlia：高程0.8m 滚筒1m ；</t>
    </r>
    <r>
      <rPr>
        <rFont val="Arial"/>
        <b val="true"/>
        <i val="false"/>
        <strike val="false"/>
        <color rgb="FF000000"/>
        <sz val="8"/>
        <u val="none"/>
      </rPr>
      <t xml:space="preserve">
dahlia pro：高程0.8m 滚筒1m</t>
    </r>
  </si>
  <si>
    <r>
      <rPr>
        <rFont val="Arial"/>
        <b val="true"/>
        <i val="false"/>
        <strike val="false"/>
        <color rgb="FF000000"/>
        <sz val="8"/>
        <u val="none"/>
      </rPr>
      <t>U</t>
    </r>
    <r>
      <rPr>
        <rFont val="Arial"/>
        <b val="false"/>
        <i val="false"/>
        <strike val="false"/>
        <color rgb="FF000000"/>
        <sz val="8"/>
        <u val="none"/>
      </rPr>
      <t>nisoc</t>
    </r>
  </si>
  <si>
    <r>
      <rPr>
        <rFont val="Arial"/>
        <b val="true"/>
        <i val="false"/>
        <strike val="false"/>
        <color rgb="FF000000"/>
        <sz val="8"/>
        <u val="none"/>
      </rPr>
      <t>SC</t>
    </r>
    <r>
      <rPr>
        <rFont val="Arial"/>
        <b val="false"/>
        <i val="false"/>
        <strike val="false"/>
        <color rgb="FF000000"/>
        <sz val="8"/>
        <u val="none"/>
      </rPr>
      <t>9863A1</t>
    </r>
  </si>
  <si>
    <r>
      <rPr>
        <rFont val="Calibri"/>
        <family val="2"/>
        <b val="true"/>
        <color rgb="FF000000"/>
        <sz val="11"/>
        <scheme val="minor"/>
      </rPr>
      <t xml:space="preserve">Line 22
</t>
    </r>
    <r>
      <rPr>
        <rFont val="Calibri"/>
        <family val="2"/>
        <color rgb="FF000000"/>
        <sz val="11"/>
        <scheme val="minor"/>
      </rPr>
      <t>Orange Variant Name</t>
    </r>
  </si>
  <si>
    <r>
      <rPr>
        <rFont val="Calibri"/>
        <family val="2"/>
        <b val="true"/>
        <color rgb="FF000000"/>
        <sz val="11"/>
        <scheme val="minor"/>
      </rPr>
      <t xml:space="preserve">Line 15
</t>
    </r>
    <r>
      <rPr>
        <rFont val="Calibri"/>
        <family val="2"/>
        <color rgb="FF000000"/>
        <sz val="11"/>
        <scheme val="minor"/>
      </rPr>
      <t xml:space="preserve">Expected End of Life Date changed to Expected End of Life </t>
    </r>
    <r>
      <rPr>
        <rFont val="Calibri"/>
        <family val="2"/>
        <b val="true"/>
        <color rgb="FF00B050"/>
        <sz val="11"/>
        <scheme val="minor"/>
      </rPr>
      <t>d</t>
    </r>
    <r>
      <rPr>
        <rFont val="Calibri"/>
        <family val="2"/>
        <color rgb="FF000000"/>
        <sz val="11"/>
        <scheme val="minor"/>
      </rPr>
      <t xml:space="preserve">ate
</t>
    </r>
    <r>
      <rPr>
        <rFont val="Calibri"/>
        <family val="2"/>
        <b val="true"/>
        <color rgb="FF000000"/>
        <sz val="11"/>
        <scheme val="minor"/>
      </rPr>
      <t>Line 35</t>
    </r>
    <r>
      <rPr>
        <rFont val="Calibri"/>
        <family val="2"/>
        <color rgb="FF000000"/>
        <sz val="11"/>
        <scheme val="minor"/>
      </rPr>
      <t xml:space="preserve">
Operating system and software information changed to Operating </t>
    </r>
    <r>
      <rPr>
        <rFont val="Calibri"/>
        <family val="2"/>
        <b val="true"/>
        <color rgb="FF00B050"/>
        <sz val="11"/>
        <scheme val="minor"/>
      </rPr>
      <t>S</t>
    </r>
    <r>
      <rPr>
        <rFont val="Calibri"/>
        <family val="2"/>
        <color rgb="FF000000"/>
        <sz val="11"/>
        <scheme val="minor"/>
      </rPr>
      <t>ystem and software information</t>
    </r>
  </si>
  <si>
    <r>
      <rPr>
        <rFont val="Calibri"/>
        <family val="2"/>
        <b val="true"/>
        <color theme="1"/>
        <sz val="11"/>
        <u/>
        <scheme val="minor"/>
      </rPr>
      <t>SECTION</t>
    </r>
    <r>
      <rPr>
        <rFont val="Calibri"/>
        <family val="2"/>
        <b val="true"/>
        <color theme="1"/>
        <sz val="11"/>
        <scheme val="minor"/>
      </rPr>
      <t xml:space="preserve">  General information
</t>
    </r>
    <r>
      <rPr>
        <rFont val="Calibri"/>
        <family val="2"/>
        <color theme="1"/>
        <sz val="11"/>
        <scheme val="minor"/>
      </rPr>
      <t>GCF Model name (used for GCF Certification)</t>
    </r>
    <r>
      <rPr>
        <rFont val="Calibri"/>
        <family val="2"/>
        <b val="true"/>
        <color theme="1"/>
        <sz val="11"/>
        <u/>
        <scheme val="minor"/>
      </rPr>
      <t xml:space="preserve">
SECTION</t>
    </r>
    <r>
      <rPr>
        <rFont val="Calibri"/>
        <family val="2"/>
        <b val="true"/>
        <color theme="1"/>
        <sz val="11"/>
        <scheme val="minor"/>
      </rPr>
      <t xml:space="preserve"> Operating system and software information
</t>
    </r>
    <r>
      <rPr>
        <rFont val="Calibri"/>
        <family val="2"/>
        <color theme="1"/>
        <sz val="11"/>
        <scheme val="minor"/>
      </rPr>
      <t xml:space="preserve">Number of Android OS upgrades	
Duration of Android OS security patch upgrades (years)
Frequency of Android OS security patch upgrades
</t>
    </r>
    <r>
      <rPr>
        <rFont val="Calibri"/>
        <family val="2"/>
        <b val="true"/>
        <color theme="1"/>
        <sz val="11"/>
        <u/>
        <scheme val="minor"/>
      </rPr>
      <t>SECTION</t>
    </r>
    <r>
      <rPr>
        <rFont val="Calibri"/>
        <family val="2"/>
        <b val="true"/>
        <color theme="1"/>
        <sz val="11"/>
        <scheme val="minor"/>
      </rPr>
      <t xml:space="preserve"> Connectivity
</t>
    </r>
    <r>
      <rPr>
        <rFont val="Calibri"/>
        <family val="2"/>
        <color theme="1"/>
        <sz val="11"/>
        <scheme val="minor"/>
      </rPr>
      <t xml:space="preserve">Wi-Fi chipset supplier
Wi-Fi chipset name
</t>
    </r>
    <r>
      <rPr>
        <rFont val="Calibri"/>
        <family val="2"/>
        <b val="true"/>
        <color theme="1"/>
        <sz val="11"/>
        <u/>
        <scheme val="minor"/>
      </rPr>
      <t>SECTION</t>
    </r>
    <r>
      <rPr>
        <rFont val="Calibri"/>
        <family val="2"/>
        <b val="true"/>
        <color theme="1"/>
        <sz val="11"/>
        <scheme val="minor"/>
      </rPr>
      <t xml:space="preserve"> Carbon footprint 
</t>
    </r>
    <r>
      <rPr>
        <rFont val="Calibri"/>
        <family val="2"/>
        <b val="true"/>
        <color theme="1"/>
        <sz val="11"/>
        <u/>
        <scheme val="minor"/>
      </rPr>
      <t>Sub section</t>
    </r>
    <r>
      <rPr>
        <rFont val="Calibri"/>
        <family val="2"/>
        <b val="true"/>
        <color theme="1"/>
        <sz val="11"/>
        <scheme val="minor"/>
      </rPr>
      <t xml:space="preserve"> Orange estimation</t>
    </r>
    <r>
      <rPr>
        <rFont val="Calibri"/>
        <family val="2"/>
        <color theme="1"/>
        <sz val="11"/>
        <scheme val="minor"/>
      </rPr>
      <t>	
Production value (kg CO2e)	
Transportation value (kg CO2e)	</t>
    </r>
    <r>
      <rPr>
        <rFont val="Calibri"/>
        <family val="2"/>
        <b val="true"/>
        <color theme="1"/>
        <sz val="11"/>
        <u/>
        <scheme val="minor"/>
      </rPr>
      <t xml:space="preserve">
Sub section</t>
    </r>
    <r>
      <rPr>
        <rFont val="Calibri"/>
        <family val="2"/>
        <b val="true"/>
        <color theme="1"/>
        <sz val="11"/>
        <scheme val="minor"/>
      </rPr>
      <t xml:space="preserve"> Eco Rating evaluation</t>
    </r>
    <r>
      <rPr>
        <rFont val="Calibri"/>
        <family val="2"/>
        <color theme="1"/>
        <sz val="11"/>
        <scheme val="minor"/>
      </rPr>
      <t>	
Eco Rating release version	
Production value (kg CO2e)	
Adjustment for memory variant (kg CO2e)	
Transportation value (kg CO2e)	</t>
    </r>
    <r>
      <rPr>
        <rFont val="Calibri"/>
        <family val="2"/>
        <b val="true"/>
        <color theme="1"/>
        <sz val="11"/>
        <u/>
        <scheme val="minor"/>
      </rPr>
      <t xml:space="preserve">
Sub section</t>
    </r>
    <r>
      <rPr>
        <rFont val="Calibri"/>
        <family val="2"/>
        <b val="true"/>
        <color theme="1"/>
        <sz val="11"/>
        <scheme val="minor"/>
      </rPr>
      <t xml:space="preserve"> Manufacturer evaluation</t>
    </r>
    <r>
      <rPr>
        <rFont val="Calibri"/>
        <family val="2"/>
        <color theme="1"/>
        <sz val="11"/>
        <scheme val="minor"/>
      </rPr>
      <t>	
Production value (kg CO2e)	
Adjustment for memory variant (kg CO2e)	
Transportation value (kg CO2e)	
Destination</t>
    </r>
  </si>
  <si>
    <r>
      <t xml:space="preserve">Renaming the </t>
    </r>
    <r>
      <rPr>
        <rFont val="Calibri"/>
        <family val="2"/>
        <b val="true"/>
        <color theme="1"/>
        <sz val="11"/>
        <u/>
        <scheme val="minor"/>
      </rPr>
      <t>SECTION</t>
    </r>
    <r>
      <rPr>
        <rFont val="Calibri"/>
        <family val="2"/>
        <b val="true"/>
        <i val="true"/>
        <color theme="1"/>
        <sz val="11"/>
        <scheme val="minor"/>
      </rPr>
      <t xml:space="preserve"> Operating system platform</t>
    </r>
    <r>
      <rPr>
        <rFont val="Calibri"/>
        <family val="2"/>
        <color theme="1"/>
        <sz val="11"/>
        <scheme val="minor"/>
      </rPr>
      <t xml:space="preserve"> to</t>
    </r>
    <r>
      <rPr>
        <rFont val="Calibri"/>
        <family val="2"/>
        <b val="true"/>
        <color theme="1"/>
        <sz val="11"/>
        <scheme val="minor"/>
      </rPr>
      <t xml:space="preserve"> 
Operating system and software information</t>
    </r>
  </si>
  <si>
    <r>
      <rPr>
        <rFont val="Calibri"/>
        <family val="2"/>
        <b val="true"/>
        <color theme="1"/>
        <sz val="11"/>
        <u/>
        <scheme val="minor"/>
      </rPr>
      <t>SECTION</t>
    </r>
    <r>
      <rPr>
        <rFont val="Calibri"/>
        <family val="2"/>
        <b val="true"/>
        <color theme="1"/>
        <sz val="11"/>
        <scheme val="minor"/>
      </rPr>
      <t xml:space="preserve"> Ecorating removed with its associated fields:</t>
    </r>
    <r>
      <rPr>
        <rFont val="Calibri"/>
        <family val="2"/>
        <color theme="1"/>
        <sz val="11"/>
        <scheme val="minor"/>
      </rPr>
      <t xml:space="preserve">
Ecorating Score (global score) 
Durability 
Repairability - Reusability - Upgradeability
Recyclability and recoverability
Use of hazardous &amp; restricted substances
Recycled materials content
Waste packaging and accessories
Low climate change
Low resources use
</t>
    </r>
  </si>
  <si>
    <r>
      <rPr>
        <rFont val="Calibri"/>
        <family val="2"/>
        <b val="true"/>
        <color rgb="FF000000"/>
        <sz val="11"/>
        <scheme val="minor"/>
      </rPr>
      <t xml:space="preserve">Line 27 
</t>
    </r>
    <r>
      <rPr>
        <rFont val="Calibri"/>
        <family val="2"/>
        <color rgb="FF000000"/>
        <sz val="11"/>
        <scheme val="minor"/>
      </rPr>
      <t>Hardware platform supplier</t>
    </r>
  </si>
  <si>
    <r>
      <rPr>
        <rFont val="Calibri"/>
        <family val="2"/>
        <b val="true"/>
        <color rgb="FF000000"/>
        <sz val="11"/>
        <scheme val="minor"/>
      </rPr>
      <t xml:space="preserve">Line 181 
</t>
    </r>
    <r>
      <rPr>
        <rFont val="Calibri"/>
        <family val="2"/>
        <color rgb="FF000000"/>
        <sz val="11"/>
        <scheme val="minor"/>
      </rPr>
      <t>RAM</t>
    </r>
  </si>
  <si>
    <r>
      <t>Line 21</t>
    </r>
    <r>
      <rPr>
        <rFont val="Calibri"/>
        <family val="2"/>
        <color theme="1"/>
        <sz val="11"/>
        <scheme val="minor"/>
      </rPr>
      <t xml:space="preserve"> Orange Variant name</t>
    </r>
  </si>
  <si>
    <r>
      <rPr>
        <rFont val="Calibri"/>
        <family val="2"/>
        <b val="true"/>
        <color rgb="FF000000"/>
        <sz val="11"/>
        <scheme val="minor"/>
      </rPr>
      <t xml:space="preserve">Line 7 </t>
    </r>
    <r>
      <rPr>
        <rFont val="Calibri"/>
        <family val="2"/>
        <color rgb="FFFF0000"/>
        <sz val="11"/>
        <scheme val="minor"/>
      </rPr>
      <t xml:space="preserve">Brand name
</t>
    </r>
    <r>
      <rPr>
        <rFont val="Calibri"/>
        <family val="2"/>
        <b val="true"/>
        <color rgb="FF000000"/>
        <sz val="11"/>
        <scheme val="minor"/>
      </rPr>
      <t xml:space="preserve">Line 20 </t>
    </r>
    <r>
      <rPr>
        <rFont val="Calibri"/>
        <family val="2"/>
        <color rgb="FFFF0000"/>
        <sz val="11"/>
        <scheme val="minor"/>
      </rPr>
      <t xml:space="preserve">Commercial name
</t>
    </r>
    <r>
      <rPr>
        <rFont val="Calibri"/>
        <family val="2"/>
        <b val="true"/>
        <color rgb="FF000000"/>
        <sz val="11"/>
        <scheme val="minor"/>
      </rPr>
      <t xml:space="preserve">Line 44 </t>
    </r>
    <r>
      <rPr>
        <rFont val="Calibri"/>
        <family val="2"/>
        <color rgb="FFFF0000"/>
        <sz val="11"/>
        <scheme val="minor"/>
      </rPr>
      <t xml:space="preserve">LTE
</t>
    </r>
    <r>
      <rPr>
        <rFont val="Calibri"/>
        <family val="2"/>
        <b val="true"/>
        <color rgb="FF000000"/>
        <sz val="11"/>
        <scheme val="minor"/>
      </rPr>
      <t xml:space="preserve">Line 56 </t>
    </r>
    <r>
      <rPr>
        <rFont val="Calibri"/>
        <family val="2"/>
        <color rgb="FFFF0000"/>
        <sz val="11"/>
        <scheme val="minor"/>
      </rPr>
      <t xml:space="preserve">5G
</t>
    </r>
    <r>
      <rPr>
        <rFont val="Calibri"/>
        <family val="2"/>
        <b val="true"/>
        <color rgb="FF000000"/>
        <sz val="11"/>
        <scheme val="minor"/>
      </rPr>
      <t xml:space="preserve">Line 176 </t>
    </r>
    <r>
      <rPr>
        <rFont val="Calibri"/>
        <family val="2"/>
        <color rgb="FFFF0000"/>
        <sz val="11"/>
        <scheme val="minor"/>
      </rPr>
      <t>Internal</t>
    </r>
    <r>
      <rPr>
        <rFont val="Calibri"/>
        <family val="2"/>
        <color rgb="FFFF0000"/>
        <sz val="11"/>
        <scheme val="minor"/>
      </rPr>
      <t xml:space="preserve"> memory
</t>
    </r>
    <r>
      <rPr>
        <rFont val="Calibri"/>
        <family val="2"/>
        <b val="true"/>
        <color rgb="FF000000"/>
        <sz val="11"/>
        <scheme val="minor"/>
      </rPr>
      <t xml:space="preserve">Line 181 </t>
    </r>
    <r>
      <rPr>
        <rFont val="Calibri"/>
        <family val="2"/>
        <color rgb="FFFF0000"/>
        <sz val="11"/>
        <scheme val="minor"/>
      </rPr>
      <t xml:space="preserve">RAM
</t>
    </r>
  </si>
  <si>
    <r>
      <t xml:space="preserve">Following fields must be now </t>
    </r>
    <r>
      <rPr>
        <rFont val="Calibri"/>
        <family val="2"/>
        <b val="true"/>
        <color rgb="FFFF0000"/>
        <sz val="14"/>
        <scheme val="minor"/>
      </rPr>
      <t>mandatory</t>
    </r>
    <r>
      <rPr>
        <rFont val="Calibri"/>
        <family val="2"/>
        <color theme="1"/>
        <sz val="11"/>
        <scheme val="minor"/>
      </rPr>
      <t xml:space="preserve"> to fill-in: Brand name, Commercial name, LTE, 5G, Internal memory, RAM.
</t>
    </r>
    <r>
      <rPr>
        <rFont val="Calibri"/>
        <family val="2"/>
        <b val="true"/>
        <color theme="1"/>
        <sz val="11"/>
        <scheme val="minor"/>
      </rPr>
      <t xml:space="preserve">Please see </t>
    </r>
    <r>
      <rPr>
        <rFont val="Calibri"/>
        <family val="2"/>
        <b val="true"/>
        <color theme="1"/>
        <sz val="14"/>
        <scheme val="minor"/>
      </rPr>
      <t>Information index</t>
    </r>
    <r>
      <rPr>
        <rFont val="Calibri"/>
        <family val="2"/>
        <b val="true"/>
        <color theme="1"/>
        <sz val="11"/>
        <scheme val="minor"/>
      </rPr>
      <t xml:space="preserve"> for 
Manufacturer product name, cell D2
Commercial name, cell D20
</t>
    </r>
  </si>
  <si>
    <r>
      <rPr>
        <rFont val="Calibri"/>
        <family val="2"/>
        <b val="true"/>
        <color theme="1"/>
        <sz val="11"/>
        <scheme val="minor"/>
      </rPr>
      <t>Line 134, 135,136</t>
    </r>
    <r>
      <rPr>
        <rFont val="Calibri"/>
        <family val="2"/>
        <color theme="1"/>
        <sz val="11"/>
        <scheme val="minor"/>
      </rPr>
      <t xml:space="preserve">
802.11be (2.4GHz)
802.11be (5GHz)
802.11be (6GHz)</t>
    </r>
  </si>
  <si>
    <r>
      <rPr>
        <rFont val="Calibri"/>
        <family val="2"/>
        <b val="true"/>
        <color theme="1"/>
        <sz val="11"/>
        <scheme val="minor"/>
      </rPr>
      <t>Line 140</t>
    </r>
    <r>
      <rPr>
        <rFont val="Calibri"/>
        <family val="2"/>
        <color theme="1"/>
        <sz val="11"/>
        <scheme val="minor"/>
      </rPr>
      <t xml:space="preserve">
Bluetooth</t>
    </r>
  </si>
  <si>
    <r>
      <rPr>
        <rFont val="Calibri"/>
        <family val="2"/>
        <b val="true"/>
        <color theme="1"/>
        <sz val="11"/>
        <scheme val="minor"/>
      </rPr>
      <t>Line 118</t>
    </r>
    <r>
      <rPr>
        <rFont val="Calibri"/>
        <family val="2"/>
        <color theme="1"/>
        <sz val="11"/>
        <scheme val="minor"/>
      </rPr>
      <t xml:space="preserve">
Brightness (cd/m2)</t>
    </r>
  </si>
  <si>
    <r>
      <rPr>
        <rFont val="Calibri"/>
        <family val="2"/>
        <b val="true"/>
        <color theme="1"/>
        <sz val="11"/>
        <scheme val="minor"/>
      </rPr>
      <t>Line 117</t>
    </r>
    <r>
      <rPr>
        <rFont val="Calibri"/>
        <family val="2"/>
        <color theme="1"/>
        <sz val="11"/>
        <scheme val="minor"/>
      </rPr>
      <t xml:space="preserve">
Contrast ratio</t>
    </r>
  </si>
  <si>
    <r>
      <rPr>
        <rFont val="Calibri"/>
        <family val="2"/>
        <b val="true"/>
        <color theme="1"/>
        <sz val="11"/>
        <scheme val="minor"/>
      </rPr>
      <t>Deleted values :</t>
    </r>
    <r>
      <rPr>
        <rFont val="Calibri"/>
        <family val="2"/>
        <color theme="1"/>
        <sz val="11"/>
        <scheme val="minor"/>
      </rPr>
      <t xml:space="preserve">
802.11ad
EAP-AKA
EAP-AKA'
EAP-TLS
EAP-TTLS
PEAP
</t>
    </r>
    <r>
      <rPr>
        <rFont val="Calibri"/>
        <family val="2"/>
        <b val="true"/>
        <color theme="1"/>
        <sz val="11"/>
        <scheme val="minor"/>
      </rPr>
      <t>New value:</t>
    </r>
    <r>
      <rPr>
        <rFont val="Calibri"/>
        <family val="2"/>
        <color theme="1"/>
        <sz val="11"/>
        <scheme val="minor"/>
      </rPr>
      <t xml:space="preserve">
802.11ax (2.4GHz)
</t>
    </r>
    <r>
      <rPr>
        <rFont val="Calibri"/>
        <family val="2"/>
        <b val="true"/>
        <color theme="1"/>
        <sz val="11"/>
        <scheme val="minor"/>
      </rPr>
      <t>Value modified :</t>
    </r>
    <r>
      <rPr>
        <rFont val="Calibri"/>
        <family val="2"/>
        <color theme="1"/>
        <sz val="11"/>
        <scheme val="minor"/>
      </rPr>
      <t xml:space="preserve">
802.11ac (5GHz) instead of 802.11ac</t>
    </r>
  </si>
  <si>
    <r>
      <rPr>
        <rFont val="Calibri"/>
        <family val="2"/>
        <b val="true"/>
        <color theme="1"/>
        <sz val="11"/>
        <scheme val="minor"/>
      </rPr>
      <t>New values :</t>
    </r>
    <r>
      <rPr>
        <rFont val="Calibri"/>
        <family val="2"/>
        <color theme="1"/>
        <sz val="11"/>
        <scheme val="minor"/>
      </rPr>
      <t xml:space="preserve">
Li-Ion-Poly</t>
    </r>
  </si>
  <si>
    <r>
      <rPr>
        <rFont val="Calibri"/>
        <family val="2"/>
        <b val="true"/>
        <color theme="1"/>
        <sz val="11"/>
        <scheme val="minor"/>
      </rPr>
      <t>line 144  to 146</t>
    </r>
    <r>
      <rPr>
        <rFont val="Calibri"/>
        <family val="2"/>
        <color theme="1"/>
        <sz val="11"/>
        <scheme val="minor"/>
      </rPr>
      <t xml:space="preserve">
NFC Chipset provider
NFC Chipset name
NFC Chipset version</t>
    </r>
  </si>
  <si>
    <r>
      <rPr>
        <rFont val="Calibri"/>
        <family val="2"/>
        <b val="true"/>
        <color theme="1"/>
        <sz val="11"/>
        <scheme val="minor"/>
      </rPr>
      <t>Line 31</t>
    </r>
    <r>
      <rPr>
        <rFont val="Calibri"/>
        <family val="2"/>
        <color theme="1"/>
        <sz val="11"/>
        <scheme val="minor"/>
      </rPr>
      <t xml:space="preserve">
Frequency (MHz)  changed to CPU Frequencies (MHz)</t>
    </r>
  </si>
  <si>
    <r>
      <rPr>
        <rFont val="Calibri"/>
        <family val="2"/>
        <b val="true"/>
        <color theme="1"/>
        <sz val="11"/>
        <scheme val="minor"/>
      </rPr>
      <t>Line 163</t>
    </r>
    <r>
      <rPr>
        <rFont val="Calibri"/>
        <family val="2"/>
        <color theme="1"/>
        <sz val="11"/>
        <scheme val="minor"/>
      </rPr>
      <t xml:space="preserve">
Voice (hours)</t>
    </r>
  </si>
  <si>
    <r>
      <rPr>
        <rFont val="Calibri"/>
        <family val="2"/>
        <b val="true"/>
        <color theme="1"/>
        <sz val="11"/>
        <scheme val="minor"/>
      </rPr>
      <t>Line 164</t>
    </r>
    <r>
      <rPr>
        <rFont val="Calibri"/>
        <family val="2"/>
        <color theme="1"/>
        <sz val="11"/>
        <scheme val="minor"/>
      </rPr>
      <t xml:space="preserve">
Idle (hours)</t>
    </r>
  </si>
  <si>
    <r>
      <rPr>
        <rFont val="Calibri"/>
        <family val="2"/>
        <b val="true"/>
        <color theme="1"/>
        <sz val="11"/>
        <scheme val="minor"/>
      </rPr>
      <t>Line 190</t>
    </r>
    <r>
      <rPr>
        <rFont val="Calibri"/>
        <family val="2"/>
        <color theme="1"/>
        <sz val="11"/>
        <scheme val="minor"/>
      </rPr>
      <t xml:space="preserve">
SMS Over IP support</t>
    </r>
  </si>
  <si>
    <r>
      <t xml:space="preserve">Line 97 : « </t>
    </r>
    <r>
      <rPr>
        <rFont val="Calibri"/>
        <family val="2"/>
        <b val="true"/>
        <color theme="1"/>
        <sz val="11"/>
        <scheme val="minor"/>
      </rPr>
      <t xml:space="preserve">5G NSA combination LTE part (&gt;2CA) </t>
    </r>
    <r>
      <rPr>
        <rFont val="Calibri"/>
        <family val="2"/>
        <color theme="1"/>
        <sz val="11"/>
        <scheme val="minor"/>
      </rPr>
      <t>» Drop down menu have been updated with added values :
4CA  with 3B MIMO 4x4 + NR
5CA  with 3B MIMO 4x4 + NR
5CA  with 2B MIMO 4x4 + NR
5CA  with 1B MIMO 4x4 + NR
5CA without MIMO + NR
according to Orange Techno manager</t>
    </r>
  </si>
  <si>
    <r>
      <t xml:space="preserve">Line 98 5G « </t>
    </r>
    <r>
      <rPr>
        <rFont val="Calibri"/>
        <family val="2"/>
        <b val="true"/>
        <color theme="1"/>
        <sz val="11"/>
        <scheme val="minor"/>
      </rPr>
      <t xml:space="preserve">NSA combination 5G part </t>
    </r>
    <r>
      <rPr>
        <rFont val="Calibri"/>
        <family val="2"/>
        <color theme="1"/>
        <sz val="11"/>
        <scheme val="minor"/>
      </rPr>
      <t xml:space="preserve"> » Drop down menu have been updated with the following :
n78
DC_FDD_n78
DC_n78_n258
according to Orange Techno manager</t>
    </r>
  </si>
  <si>
    <r>
      <rPr>
        <rFont val="Calibri"/>
        <family val="2"/>
        <b val="true"/>
        <color theme="1"/>
        <sz val="11"/>
        <scheme val="minor"/>
      </rPr>
      <t>Lines 14</t>
    </r>
    <r>
      <rPr>
        <rFont val="Calibri"/>
        <family val="2"/>
        <color theme="1"/>
        <sz val="11"/>
        <scheme val="minor"/>
      </rPr>
      <t xml:space="preserve">
Expected End of Life Date</t>
    </r>
  </si>
  <si>
    <r>
      <rPr>
        <rFont val="Calibri"/>
        <family val="2"/>
        <b val="true"/>
        <color theme="1"/>
        <sz val="11"/>
        <scheme val="minor"/>
      </rPr>
      <t>Lines 54 to 56</t>
    </r>
    <r>
      <rPr>
        <rFont val="Calibri"/>
        <family val="2"/>
        <color theme="1"/>
        <sz val="11"/>
        <scheme val="minor"/>
      </rPr>
      <t xml:space="preserve">
5G
5G SUL support
5G Spectrum sharing</t>
    </r>
  </si>
  <si>
    <r>
      <rPr>
        <rFont val="Calibri"/>
        <family val="2"/>
        <b val="true"/>
        <color theme="1"/>
        <sz val="11"/>
        <scheme val="minor"/>
      </rPr>
      <t>Lines 89 to 98</t>
    </r>
    <r>
      <rPr>
        <rFont val="Calibri"/>
        <family val="2"/>
        <color theme="1"/>
        <sz val="11"/>
        <scheme val="minor"/>
      </rPr>
      <t xml:space="preserve">
5G Bands Sub6
5G Bands mmWave
5G NSA combination LTE part (&gt;2CA)
5G NSA combination 5G part</t>
    </r>
  </si>
  <si>
    <r>
      <rPr>
        <rFont val="Arial"/>
        <family val="2"/>
        <color rgb="FFFF0000"/>
        <sz val="14"/>
        <u/>
      </rPr>
      <t>Manufacturer Product name  : Mandatory field.</t>
    </r>
    <r>
      <rPr>
        <rFont val="Arial"/>
        <family val="2"/>
        <b val="true"/>
        <sz val="11"/>
      </rPr>
      <t xml:space="preserve">
This is the product code name or project name specific to the manufacturer. It becomes unique by Manufacturer name to avoid duplicates and shall include  + Network attributes + both RAM + Internal memoryfor each available product variant.</t>
    </r>
  </si>
  <si>
    <r>
      <t xml:space="preserve">Commercial name - Mandatory field  - Free text
</t>
    </r>
    <r>
      <rPr>
        <rFont val="Arial"/>
        <family val="2"/>
        <b val="true"/>
        <sz val="11"/>
      </rPr>
      <t xml:space="preserve">Corresponds to the commercial name of the product on the market and shall be identical to the official product name used on Manufacturer’s WEB site. This field becomes mandatory and shall not include any RAM + Internal memory indications, in order to cover multiple product variants (model name concept). If needed, it can contain the Manufacturer name and “5G” Network attribute to differentiate with 4G model version. In case of confidential project, the code name used during the Portfolio selection &amp; Delivery project phases must be updated right after the public launch announcement.
</t>
    </r>
  </si>
  <si>
    <r>
      <t>Orange Variant name -</t>
    </r>
    <r>
      <rPr>
        <rFont val="Arial"/>
        <family val="2"/>
        <b val="true"/>
        <color theme="1"/>
        <sz val="11"/>
      </rPr>
      <t xml:space="preserve"> Orange reserved </t>
    </r>
  </si>
  <si>
    <r>
      <t xml:space="preserve">Orange ODM - </t>
    </r>
    <r>
      <rPr>
        <rFont val="Arial"/>
        <family val="2"/>
        <b val="true"/>
        <color theme="1"/>
        <sz val="11"/>
      </rPr>
      <t>Orange reserved</t>
    </r>
  </si>
  <si>
    <r>
      <t xml:space="preserve">Orange segmentation </t>
    </r>
    <r>
      <rPr>
        <rFont val="Arial"/>
        <family val="2"/>
        <color rgb="FFFF9900"/>
        <sz val="11"/>
      </rPr>
      <t xml:space="preserve">- Used for Risk assessment tool </t>
    </r>
    <r>
      <rPr>
        <rFont val="Arial"/>
        <family val="2"/>
        <color theme="1"/>
        <sz val="11"/>
      </rPr>
      <t xml:space="preserve">- </t>
    </r>
    <r>
      <rPr>
        <rFont val="Arial"/>
        <family val="2"/>
        <b val="true"/>
        <color theme="1"/>
        <sz val="11"/>
      </rPr>
      <t>Orange reserved</t>
    </r>
  </si>
  <si>
    <r>
      <t xml:space="preserve">Orange MEA sub-segmentation - </t>
    </r>
    <r>
      <rPr>
        <rFont val="Arial"/>
        <family val="2"/>
        <b val="true"/>
        <color theme="1"/>
        <sz val="11"/>
      </rPr>
      <t>Orange reserved</t>
    </r>
  </si>
  <si>
    <r>
      <t xml:space="preserve">Hardware platform reference name - </t>
    </r>
    <r>
      <rPr>
        <rFont val="Arial"/>
        <family val="2"/>
        <b val="true"/>
        <color theme="1"/>
        <sz val="11"/>
      </rPr>
      <t>Orange reserved</t>
    </r>
  </si>
  <si>
    <r>
      <t xml:space="preserve">Operating System - Mandatory </t>
    </r>
    <r>
      <rPr>
        <rFont val="Arial"/>
        <family val="2"/>
        <color rgb="FFFF9900"/>
        <sz val="11"/>
      </rPr>
      <t xml:space="preserve"> - Used for Risk assessment tool </t>
    </r>
    <r>
      <rPr>
        <rFont val="Arial"/>
        <family val="2"/>
        <color theme="1"/>
        <sz val="11"/>
      </rPr>
      <t xml:space="preserve"> - Drop down menu</t>
    </r>
  </si>
  <si>
    <r>
      <t xml:space="preserve">EDGE - </t>
    </r>
    <r>
      <rPr>
        <rFont val="Arial"/>
        <family val="2"/>
        <color rgb="FFFF9900"/>
        <sz val="11"/>
      </rPr>
      <t xml:space="preserve">Used for Risk assessment tool </t>
    </r>
    <r>
      <rPr>
        <rFont val="Arial"/>
        <family val="2"/>
        <color theme="1"/>
        <sz val="11"/>
      </rPr>
      <t>- Drop down menu</t>
    </r>
  </si>
  <si>
    <r>
      <t xml:space="preserve">3G - </t>
    </r>
    <r>
      <rPr>
        <rFont val="Arial"/>
        <family val="2"/>
        <color rgb="FFFF9900"/>
        <sz val="11"/>
      </rPr>
      <t xml:space="preserve">Used for Risk assessment tool </t>
    </r>
    <r>
      <rPr>
        <rFont val="Arial"/>
        <family val="2"/>
        <color theme="1"/>
        <sz val="11"/>
      </rPr>
      <t>- Drop down menu</t>
    </r>
  </si>
  <si>
    <r>
      <t xml:space="preserve">3G HSPA+ - </t>
    </r>
    <r>
      <rPr>
        <rFont val="Arial"/>
        <family val="2"/>
        <color rgb="FFFF9900"/>
        <sz val="11"/>
      </rPr>
      <t>Used for Risk assessment tool</t>
    </r>
    <r>
      <rPr>
        <rFont val="Arial"/>
        <family val="2"/>
        <color theme="1"/>
        <sz val="11"/>
      </rPr>
      <t xml:space="preserve"> - Drop down menu</t>
    </r>
  </si>
  <si>
    <r>
      <t xml:space="preserve">Fast dormancy R8 - </t>
    </r>
    <r>
      <rPr>
        <rFont val="Arial"/>
        <family val="2"/>
        <color rgb="FFFF9900"/>
        <sz val="11"/>
      </rPr>
      <t>Used for Risk assessment tool</t>
    </r>
    <r>
      <rPr>
        <rFont val="Arial"/>
        <family val="2"/>
        <color theme="1"/>
        <sz val="11"/>
      </rPr>
      <t xml:space="preserve"> Drop down menu</t>
    </r>
  </si>
  <si>
    <r>
      <t xml:space="preserve">LTE Category - </t>
    </r>
    <r>
      <rPr>
        <rFont val="Arial"/>
        <family val="2"/>
        <color rgb="FFFF9900"/>
        <sz val="11"/>
      </rPr>
      <t xml:space="preserve">Used for Risk assessment tool </t>
    </r>
    <r>
      <rPr>
        <rFont val="Arial"/>
        <family val="2"/>
        <color theme="1"/>
        <sz val="11"/>
      </rPr>
      <t>- Drop down menu</t>
    </r>
  </si>
  <si>
    <r>
      <t xml:space="preserve">5G Spectrum sharing  - </t>
    </r>
    <r>
      <rPr>
        <rFont val="Arial"/>
        <family val="2"/>
        <color rgb="FFFF9900"/>
        <sz val="11"/>
      </rPr>
      <t>Used for Risk assessment tool</t>
    </r>
    <r>
      <rPr>
        <rFont val="Arial"/>
        <family val="2"/>
        <color theme="1"/>
        <sz val="11"/>
      </rPr>
      <t xml:space="preserve"> - Drop down menu</t>
    </r>
  </si>
  <si>
    <r>
      <t xml:space="preserve">GSM Bands  - </t>
    </r>
    <r>
      <rPr>
        <rFont val="Arial"/>
        <family val="2"/>
        <color rgb="FFFF9900"/>
        <sz val="11"/>
      </rPr>
      <t xml:space="preserve">Used for Risk assessment tool </t>
    </r>
    <r>
      <rPr>
        <rFont val="Arial"/>
        <family val="2"/>
        <color theme="1"/>
        <sz val="11"/>
      </rPr>
      <t>- Drop down menu</t>
    </r>
  </si>
  <si>
    <r>
      <t xml:space="preserve">E - GSM Bands  - </t>
    </r>
    <r>
      <rPr>
        <rFont val="Arial"/>
        <family val="2"/>
        <color rgb="FFFF9900"/>
        <sz val="11"/>
      </rPr>
      <t xml:space="preserve">Used for Risk assessment tool </t>
    </r>
    <r>
      <rPr>
        <rFont val="Arial"/>
        <family val="2"/>
        <color theme="1"/>
        <sz val="11"/>
      </rPr>
      <t>- Drop down menu</t>
    </r>
  </si>
  <si>
    <r>
      <t xml:space="preserve">UMTS Bands  - </t>
    </r>
    <r>
      <rPr>
        <rFont val="Arial"/>
        <family val="2"/>
        <color rgb="FFFF9900"/>
        <sz val="11"/>
      </rPr>
      <t xml:space="preserve">Used for Risk assessment tool </t>
    </r>
    <r>
      <rPr>
        <rFont val="Arial"/>
        <family val="2"/>
        <color theme="1"/>
        <sz val="11"/>
      </rPr>
      <t>- Drop down menu</t>
    </r>
  </si>
  <si>
    <r>
      <t xml:space="preserve">LTE Bands  - </t>
    </r>
    <r>
      <rPr>
        <rFont val="Arial"/>
        <family val="2"/>
        <color rgb="FFFF9900"/>
        <sz val="11"/>
      </rPr>
      <t xml:space="preserve">Used for Risk assessment tool </t>
    </r>
    <r>
      <rPr>
        <rFont val="Arial"/>
        <family val="2"/>
        <color theme="1"/>
        <sz val="11"/>
      </rPr>
      <t>- Drop down menu</t>
    </r>
  </si>
  <si>
    <r>
      <t xml:space="preserve">5G Bands mmWave  - </t>
    </r>
    <r>
      <rPr>
        <rFont val="Arial"/>
        <family val="2"/>
        <color rgb="FFFF9900"/>
        <sz val="11"/>
      </rPr>
      <t xml:space="preserve">Used for Risk assessment tool </t>
    </r>
    <r>
      <rPr>
        <rFont val="Arial"/>
        <family val="2"/>
        <color theme="1"/>
        <sz val="11"/>
      </rPr>
      <t>- Drop down menu</t>
    </r>
  </si>
  <si>
    <r>
      <t xml:space="preserve">5G NSA combination LTE part (&gt;2CA)  - </t>
    </r>
    <r>
      <rPr>
        <rFont val="Arial"/>
        <family val="2"/>
        <color rgb="FFFF9900"/>
        <sz val="11"/>
      </rPr>
      <t xml:space="preserve">Used for Risk assessment tool </t>
    </r>
    <r>
      <rPr>
        <rFont val="Arial"/>
        <family val="2"/>
        <color theme="1"/>
        <sz val="11"/>
      </rPr>
      <t>- Drop down menu</t>
    </r>
  </si>
  <si>
    <r>
      <t xml:space="preserve">5G NSA combination 5G part  - </t>
    </r>
    <r>
      <rPr>
        <rFont val="Arial"/>
        <family val="2"/>
        <color rgb="FFFF9900"/>
        <sz val="11"/>
      </rPr>
      <t xml:space="preserve">Used for Risk assessment tool </t>
    </r>
    <r>
      <rPr>
        <rFont val="Arial"/>
        <family val="2"/>
        <color theme="1"/>
        <sz val="11"/>
      </rPr>
      <t>- Drop down menu</t>
    </r>
  </si>
  <si>
    <r>
      <t xml:space="preserve">Multiple SIM support  - </t>
    </r>
    <r>
      <rPr>
        <rFont val="Arial"/>
        <family val="2"/>
        <color rgb="FFFF9900"/>
        <sz val="11"/>
      </rPr>
      <t xml:space="preserve">Used for Risk assessment tool </t>
    </r>
    <r>
      <rPr>
        <rFont val="Arial"/>
        <family val="2"/>
        <color theme="1"/>
        <sz val="11"/>
      </rPr>
      <t>- Drop down menu</t>
    </r>
  </si>
  <si>
    <r>
      <t xml:space="preserve">NFC support  - </t>
    </r>
    <r>
      <rPr>
        <rFont val="Arial"/>
        <family val="2"/>
        <color rgb="FFFF9900"/>
        <sz val="11"/>
      </rPr>
      <t xml:space="preserve">Used for Risk assessment tool </t>
    </r>
    <r>
      <rPr>
        <rFont val="Arial"/>
        <family val="2"/>
        <color theme="1"/>
        <sz val="11"/>
      </rPr>
      <t>- Drop down menu</t>
    </r>
  </si>
  <si>
    <r>
      <t xml:space="preserve">Geolocation  - </t>
    </r>
    <r>
      <rPr>
        <rFont val="Arial"/>
        <family val="2"/>
        <color rgb="FFFF9900"/>
        <sz val="11"/>
      </rPr>
      <t xml:space="preserve">Used for Risk assessment tool </t>
    </r>
    <r>
      <rPr>
        <rFont val="Arial"/>
        <family val="2"/>
        <color theme="1"/>
        <sz val="11"/>
      </rPr>
      <t>- Drop down menu</t>
    </r>
  </si>
  <si>
    <r>
      <t xml:space="preserve">IPv6  - </t>
    </r>
    <r>
      <rPr>
        <rFont val="Arial"/>
        <family val="2"/>
        <color rgb="FFFF9900"/>
        <sz val="11"/>
      </rPr>
      <t xml:space="preserve">Used for Risk assessment tool </t>
    </r>
    <r>
      <rPr>
        <rFont val="Arial"/>
        <family val="2"/>
        <color theme="1"/>
        <sz val="11"/>
      </rPr>
      <t>- Drop down menu</t>
    </r>
  </si>
  <si>
    <r>
      <t xml:space="preserve">HD Voice support  - </t>
    </r>
    <r>
      <rPr>
        <rFont val="Arial"/>
        <family val="2"/>
        <color rgb="FFFF9900"/>
        <sz val="11"/>
      </rPr>
      <t xml:space="preserve">Used for Risk assessment tool </t>
    </r>
    <r>
      <rPr>
        <rFont val="Arial"/>
        <family val="2"/>
        <color theme="1"/>
        <sz val="11"/>
      </rPr>
      <t>- Drop down menu</t>
    </r>
  </si>
  <si>
    <r>
      <t xml:space="preserve">A5/3 support  - </t>
    </r>
    <r>
      <rPr>
        <rFont val="Arial"/>
        <family val="2"/>
        <color rgb="FFFF9900"/>
        <sz val="11"/>
      </rPr>
      <t xml:space="preserve">Used for Risk assessment tool </t>
    </r>
    <r>
      <rPr>
        <rFont val="Arial"/>
        <family val="2"/>
        <color theme="1"/>
        <sz val="11"/>
      </rPr>
      <t>- Drop down menu</t>
    </r>
  </si>
  <si>
    <r>
      <t xml:space="preserve">SMS support  - </t>
    </r>
    <r>
      <rPr>
        <rFont val="Arial"/>
        <family val="2"/>
        <color rgb="FFFF9900"/>
        <sz val="11"/>
      </rPr>
      <t xml:space="preserve">Used for Risk assessment tool </t>
    </r>
    <r>
      <rPr>
        <rFont val="Arial"/>
        <family val="2"/>
        <color theme="1"/>
        <sz val="11"/>
      </rPr>
      <t>- Drop down menu</t>
    </r>
  </si>
  <si>
    <r>
      <t xml:space="preserve">SMS Over IP support  - </t>
    </r>
    <r>
      <rPr>
        <rFont val="Arial"/>
        <family val="2"/>
        <color rgb="FFFF9900"/>
        <sz val="11"/>
      </rPr>
      <t xml:space="preserve">Used for Risk assessment tool </t>
    </r>
    <r>
      <rPr>
        <rFont val="Arial"/>
        <family val="2"/>
        <color theme="1"/>
        <sz val="11"/>
      </rPr>
      <t>- Drop down menu</t>
    </r>
  </si>
  <si>
    <r>
      <t xml:space="preserve">MMS support  - </t>
    </r>
    <r>
      <rPr>
        <rFont val="Arial"/>
        <family val="2"/>
        <color rgb="FFFF9900"/>
        <sz val="11"/>
      </rPr>
      <t xml:space="preserve">Used for Risk assessment tool </t>
    </r>
    <r>
      <rPr>
        <rFont val="Arial"/>
        <family val="2"/>
        <color theme="1"/>
        <sz val="11"/>
      </rPr>
      <t>- Drop down menu</t>
    </r>
  </si>
  <si>
    <r>
      <t xml:space="preserve">Best supported class  - </t>
    </r>
    <r>
      <rPr>
        <rFont val="Arial"/>
        <family val="2"/>
        <color rgb="FFFF9900"/>
        <sz val="11"/>
      </rPr>
      <t xml:space="preserve">Used for Risk assessment tool </t>
    </r>
    <r>
      <rPr>
        <rFont val="Arial"/>
        <family val="2"/>
        <color theme="1"/>
        <sz val="11"/>
      </rPr>
      <t>- Drop down menu</t>
    </r>
  </si>
  <si>
    <r>
      <t xml:space="preserve">Rich Communication Suite (RCS)  - </t>
    </r>
    <r>
      <rPr>
        <rFont val="Arial"/>
        <family val="2"/>
        <color rgb="FFFF9900"/>
        <sz val="11"/>
      </rPr>
      <t xml:space="preserve">Used for Risk assessment tool </t>
    </r>
    <r>
      <rPr>
        <rFont val="Arial"/>
        <family val="2"/>
        <color theme="1"/>
        <sz val="11"/>
      </rPr>
      <t>- Drop down menu</t>
    </r>
  </si>
  <si>
    <r>
      <t xml:space="preserve">OTA ActiveSync email client embedded  - </t>
    </r>
    <r>
      <rPr>
        <rFont val="Arial"/>
        <family val="2"/>
        <color rgb="FFFF9900"/>
        <sz val="11"/>
      </rPr>
      <t xml:space="preserve">Used for Risk assessment tool </t>
    </r>
    <r>
      <rPr>
        <rFont val="Arial"/>
        <family val="2"/>
        <color theme="1"/>
        <sz val="11"/>
      </rPr>
      <t>- Drop down menu</t>
    </r>
  </si>
</sst>
</file>

<file path=xl/styles.xml><?xml version="1.0" encoding="utf-8"?>
<styleSheet xmlns="http://schemas.openxmlformats.org/spreadsheetml/2006/main">
  <numFmts count="4">
    <numFmt numFmtId="300" formatCode="mmm\ dd\,\ yyyy"/>
    <numFmt numFmtId="301" formatCode="0;\-0;;@"/>
    <numFmt numFmtId="302" formatCode="0.000"/>
    <numFmt numFmtId="303" formatCode="General"/>
  </numFmts>
  <fonts count="41">
    <font>
      <name val="Calibri"/>
      <family val="2"/>
      <color theme="1"/>
      <sz val="11"/>
      <scheme val="minor"/>
    </font>
    <font>
      <name val="等线"/>
      <charset val="134"/>
      <color rgb="FF175CEB"/>
      <sz val="10"/>
      <u/>
      <scheme val="minor"/>
    </font>
    <font>
      <name val="Segoe UI Symbol"/>
      <family val="2"/>
      <color rgb="FF000000"/>
      <sz val="10"/>
    </font>
    <font>
      <name val="Calibri"/>
      <family val="2"/>
      <b val="true"/>
      <color theme="1"/>
      <sz val="11"/>
      <scheme val="minor"/>
    </font>
    <font>
      <name val="Arial"/>
      <family val="2"/>
      <color theme="1"/>
      <sz val="10"/>
    </font>
    <font>
      <name val="Arial"/>
      <family val="2"/>
      <color rgb="FF000000"/>
      <sz val="10"/>
    </font>
    <font>
      <name val="Arial"/>
      <family val="2"/>
      <sz val="8"/>
    </font>
    <font>
      <name val="Arial"/>
      <family val="2"/>
      <b val="true"/>
      <sz val="8"/>
    </font>
    <font>
      <name val="Calibri"/>
      <family val="2"/>
      <sz val="8"/>
      <scheme val="minor"/>
    </font>
    <font>
      <name val="Arial"/>
      <family val="2"/>
      <sz val="16"/>
    </font>
    <font>
      <name val="Arial"/>
      <family val="2"/>
      <sz val="18"/>
    </font>
    <font>
      <name val="Arial"/>
      <b val="true"/>
      <sz val="10"/>
    </font>
    <font>
      <name val="Arial"/>
      <b val="true"/>
      <sz val="10"/>
    </font>
    <font>
      <name val="Arial"/>
      <family val="2"/>
      <b val="true"/>
      <color indexed="8"/>
      <sz val="18"/>
    </font>
    <font>
      <name val="Arial"/>
      <family val="2"/>
      <b val="true"/>
      <color indexed="8"/>
      <sz val="11"/>
    </font>
    <font>
      <name val="Arial"/>
      <family val="2"/>
      <b val="true"/>
      <color rgb="FFFF0000"/>
      <sz val="9"/>
    </font>
    <font>
      <name val="Arial"/>
      <family val="2"/>
      <b val="true"/>
      <sz val="16"/>
    </font>
    <font>
      <name val="Arial"/>
      <family val="2"/>
      <b val="true"/>
      <color theme="0" tint="-0.349986"/>
      <sz val="10"/>
    </font>
    <font>
      <name val="Arial"/>
      <family val="2"/>
      <b val="true"/>
      <color theme="0"/>
      <sz val="11"/>
    </font>
    <font>
      <name val="Arial"/>
      <sz val="10"/>
    </font>
    <font>
      <name val="Arial"/>
      <family val="2"/>
      <b val="true"/>
      <color theme="0"/>
      <sz val="8"/>
    </font>
    <font>
      <name val="Arial"/>
      <family val="2"/>
      <b val="true"/>
      <color indexed="8"/>
      <sz val="8"/>
    </font>
    <font>
      <name val="Arial"/>
      <family val="2"/>
      <sz val="10"/>
    </font>
    <font>
      <name val="Arial"/>
      <family val="2"/>
      <b val="true"/>
      <sz val="10"/>
    </font>
    <font>
      <name val="Arial"/>
      <family val="2"/>
      <b val="true"/>
      <i val="true"/>
      <color theme="0"/>
      <sz val="8"/>
    </font>
    <font>
      <name val="Arial"/>
      <family val="2"/>
      <b val="true"/>
      <color rgb="FFFF9900"/>
      <sz val="8"/>
    </font>
    <font>
      <name val="Arial"/>
      <family val="2"/>
      <color rgb="FFFF9900"/>
      <sz val="10"/>
    </font>
    <font>
      <name val="Arial"/>
      <family val="2"/>
      <color theme="1"/>
      <sz val="9"/>
    </font>
    <font>
      <name val="Arial"/>
      <family val="2"/>
      <b val="true"/>
      <color indexed="8"/>
      <sz val="10"/>
    </font>
    <font>
      <name val="宋体"/>
      <family val="2"/>
    </font>
    <font>
      <name val="Arial"/>
      <family val="2"/>
      <color rgb="FF000000"/>
      <sz val="12"/>
    </font>
    <font>
      <name val="Calibri"/>
    </font>
    <font>
      <name val="Calibri"/>
      <family val="2"/>
    </font>
    <font>
      <name val="Calibri"/>
      <family val="2"/>
      <color rgb="FFFF9900"/>
      <sz val="14"/>
      <scheme val="minor"/>
    </font>
    <font>
      <name val="Calibri"/>
      <family val="2"/>
      <color rgb="FF000000"/>
      <sz val="11"/>
      <scheme val="minor"/>
    </font>
    <font>
      <name val="Calibri"/>
      <family val="2"/>
      <color theme="1"/>
      <sz val="11"/>
      <scheme val="minor"/>
    </font>
    <font>
      <name val="Calibri"/>
      <family val="2"/>
      <color rgb="FFFF9900"/>
      <sz val="11"/>
      <scheme val="minor"/>
    </font>
    <font>
      <name val="Arial"/>
      <family val="2"/>
      <color rgb="FFFF9900"/>
      <sz val="11"/>
    </font>
    <font>
      <name val="Arial"/>
      <family val="2"/>
      <sz val="14"/>
    </font>
    <font>
      <name val="Arial"/>
      <family val="2"/>
      <color rgb="FFFF0000"/>
      <sz val="11"/>
      <u/>
    </font>
    <font>
      <name val="Arial"/>
      <family val="2"/>
      <color theme="1"/>
      <sz val="11"/>
    </font>
  </fonts>
  <fills count="29">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0"/>
        <bgColor indexed="26"/>
      </patternFill>
    </fill>
    <fill>
      <patternFill patternType="solid">
        <fgColor rgb="FF8CDDFA"/>
      </patternFill>
    </fill>
    <fill>
      <patternFill patternType="solid">
        <fgColor indexed="9"/>
        <bgColor indexed="64"/>
      </patternFill>
    </fill>
    <fill>
      <patternFill patternType="solid">
        <fgColor rgb="FFF5C400"/>
      </patternFill>
    </fill>
    <fill>
      <patternFill patternType="solid">
        <fgColor theme="0" tint="-0.349986"/>
        <bgColor indexed="31"/>
      </patternFill>
    </fill>
    <fill>
      <patternFill patternType="solid">
        <fgColor theme="0" tint="-0.249977"/>
        <bgColor indexed="64"/>
      </patternFill>
    </fill>
    <fill>
      <patternFill patternType="solid">
        <fgColor rgb="FFFFFFCC"/>
        <bgColor indexed="64"/>
      </patternFill>
    </fill>
    <fill>
      <patternFill patternType="none"/>
    </fill>
    <fill>
      <patternFill patternType="solid">
        <fgColor theme="3" tint="0.799982"/>
        <bgColor indexed="9"/>
      </patternFill>
    </fill>
    <fill>
      <patternFill patternType="solid">
        <fgColor theme="0" tint="-0.149998"/>
        <bgColor indexed="64"/>
      </patternFill>
    </fill>
    <fill>
      <patternFill patternType="solid">
        <fgColor theme="0" tint="-0.499985"/>
        <bgColor indexed="64"/>
      </patternFill>
    </fill>
    <fill/>
    <fill>
      <patternFill patternType="solid">
        <fgColor rgb="FFFFFFCC"/>
        <bgColor auto="true"/>
      </patternFill>
    </fill>
    <fill>
      <patternFill patternType="solid">
        <fgColor rgb="FF99DDFF"/>
      </patternFill>
    </fill>
    <fill>
      <patternFill patternType="solid">
        <fgColor indexed="26"/>
        <bgColor indexed="9"/>
      </patternFill>
    </fill>
    <fill>
      <patternFill patternType="solid">
        <fgColor theme="1" tint="0.0499893"/>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3" tint="0.399976"/>
        <bgColor indexed="64"/>
      </patternFill>
    </fill>
    <fill>
      <patternFill patternType="solid">
        <fgColor theme="1"/>
        <bgColor indexed="64"/>
      </patternFill>
    </fill>
    <fill>
      <patternFill patternType="solid">
        <fgColor rgb="FFFFFF99"/>
        <bgColor indexed="64"/>
      </patternFill>
    </fill>
    <fill>
      <patternFill patternType="solid">
        <fgColor theme="3" tint="0.799982"/>
        <bgColor indexed="64"/>
      </patternFill>
    </fill>
    <fill>
      <patternFill patternType="solid">
        <fgColor indexed="22"/>
        <bgColor indexed="64"/>
      </patternFill>
    </fill>
    <fill>
      <patternFill patternType="solid">
        <fgColor indexed="22"/>
        <bgColor indexed="31"/>
      </patternFill>
    </fill>
  </fills>
  <borders count="51">
    <border>
      <left/>
      <right/>
      <top/>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medium">
        <color rgb="FFFF0000"/>
      </left>
      <right style="medium">
        <color rgb="FFFF0000"/>
      </right>
      <top style="medium">
        <color rgb="FFFF0000"/>
      </top>
      <bottom style="medium">
        <color rgb="FFFF0000"/>
      </bottom>
      <diagonal/>
    </border>
    <border>
      <left/>
      <right/>
      <top/>
      <bottom style="thin">
        <color theme="1"/>
      </bottom>
      <diagonal/>
    </border>
    <border>
      <left style="thin">
        <color theme="1"/>
      </left>
      <right/>
      <top style="thin">
        <color theme="1"/>
      </top>
      <bottom style="thin">
        <color theme="0"/>
      </bottom>
      <diagonal/>
    </border>
    <border>
      <left style="thin">
        <color theme="0"/>
      </left>
      <right/>
      <top style="thin">
        <color theme="1"/>
      </top>
      <bottom style="thin">
        <color theme="0"/>
      </bottom>
      <diagonal/>
    </border>
    <border>
      <left style="thin">
        <color theme="0"/>
      </left>
      <right style="thin">
        <color indexed="64"/>
      </right>
      <top style="thin">
        <color theme="1"/>
      </top>
      <bottom style="thin">
        <color theme="0"/>
      </bottom>
      <diagonal/>
    </border>
    <border>
      <left style="thin">
        <color indexed="64"/>
      </left>
      <right style="thin">
        <color indexed="64"/>
      </right>
      <top/>
      <bottom style="thin">
        <color theme="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style="thin">
        <color indexed="64"/>
      </right>
      <top/>
      <bottom/>
      <diagonal/>
    </border>
    <border>
      <left style="thin">
        <color indexed="64"/>
      </left>
      <right style="medium">
        <color rgb="FFFF0000"/>
      </right>
      <top style="medium">
        <color rgb="FFFF0000"/>
      </top>
      <bottom style="medium">
        <color rgb="FFFF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theme="1"/>
      </right>
      <top style="thin">
        <color theme="1"/>
      </top>
      <bottom style="thin">
        <color theme="1"/>
      </bottom>
      <diagonal/>
    </border>
    <border>
      <left/>
      <right style="thin">
        <color theme="0"/>
      </right>
      <top style="thin">
        <color theme="0"/>
      </top>
      <bottom/>
      <diagonal/>
    </border>
    <border>
      <left style="thin">
        <color theme="0"/>
      </left>
      <right style="thin">
        <color indexed="64"/>
      </right>
      <top style="thin">
        <color theme="0"/>
      </top>
      <bottom style="thin">
        <color theme="0"/>
      </bottom>
      <diagonal/>
    </border>
    <border>
      <left style="thin">
        <color indexed="64"/>
      </left>
      <right style="thin">
        <color theme="1"/>
      </right>
      <top style="thin">
        <color theme="1"/>
      </top>
      <bottom/>
      <diagonal/>
    </border>
    <border>
      <left style="thin">
        <color indexed="64"/>
      </left>
      <right/>
      <top/>
      <bottom style="thin">
        <color rgb="FFFF9900"/>
      </bottom>
      <diagonal/>
    </border>
    <border>
      <left/>
      <right/>
      <top/>
      <bottom style="thin">
        <color rgb="FFFF9900"/>
      </bottom>
      <diagonal/>
    </border>
    <border>
      <left style="thin">
        <color indexed="64"/>
      </left>
      <right style="thin">
        <color indexed="64"/>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indexed="64"/>
      </left>
      <right style="thin">
        <color theme="1"/>
      </right>
      <top/>
      <bottom style="thin">
        <color theme="1"/>
      </bottom>
      <diagonal/>
    </border>
    <border>
      <left style="thin">
        <color theme="0"/>
      </left>
      <right style="thin">
        <color indexed="64"/>
      </right>
      <top/>
      <bottom/>
      <diagonal/>
    </border>
    <border>
      <left style="thin">
        <color indexed="64"/>
      </left>
      <right style="thin">
        <color theme="0"/>
      </right>
      <top style="thin">
        <color theme="0"/>
      </top>
      <bottom/>
      <diagonal/>
    </border>
    <border>
      <left style="thin">
        <color indexed="64"/>
      </left>
      <right style="thin">
        <color theme="0"/>
      </right>
      <top/>
      <bottom/>
      <diagonal/>
    </border>
    <border>
      <left/>
      <right style="thin">
        <color theme="0"/>
      </right>
      <top/>
      <bottom/>
      <diagonal/>
    </border>
    <border>
      <left/>
      <right/>
      <top/>
      <bottom/>
      <diagonal/>
    </border>
    <border>
      <left style="thin">
        <color theme="0"/>
      </left>
      <right/>
      <top/>
      <bottom style="thin">
        <color theme="0"/>
      </bottom>
      <diagonal/>
    </border>
    <border>
      <left/>
      <right style="thin">
        <color theme="0"/>
      </right>
      <top/>
      <bottom style="thin">
        <color theme="0"/>
      </bottom>
      <diagonal/>
    </border>
    <border>
      <left/>
      <right style="thin">
        <color indexed="64"/>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diagonal/>
    </border>
    <border>
      <left/>
      <right/>
      <top/>
      <bottom/>
    </border>
    <border>
      <left style="thin">
        <color theme="0"/>
      </left>
      <right style="thin">
        <color indexed="64"/>
      </right>
      <top/>
      <bottom style="thin">
        <color theme="0"/>
      </bottom>
      <diagonal/>
    </border>
    <border>
      <left style="thin">
        <color indexed="64"/>
      </left>
      <right/>
      <top/>
      <bottom style="thin">
        <color theme="0" tint="-0.249977"/>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1"/>
      </right>
      <top style="thin">
        <color theme="1"/>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bottom style="thin">
        <color theme="1"/>
      </bottom>
      <diagonal/>
    </border>
    <border>
      <left style="thin">
        <color theme="0"/>
      </left>
      <right style="thin">
        <color indexed="64"/>
      </right>
      <top/>
      <bottom style="thin">
        <color indexed="64"/>
      </bottom>
      <diagonal/>
    </border>
    <border>
      <left/>
      <right/>
      <top/>
      <bottom/>
      <diagonal/>
    </border>
  </borders>
  <cellStyleXfs>
    <xf numFmtId="303" fontId="35" fillId="0" borderId="50" xfId="0"/>
    <xf numFmtId="303" fontId="22" fillId="27" borderId="50" xfId="0"/>
    <xf numFmtId="303" fontId="22" fillId="11" borderId="50" xfId="0"/>
    <xf numFmtId="303" fontId="22" fillId="28" borderId="50" xfId="0"/>
    <xf numFmtId="303" fontId="22" fillId="27" borderId="50" xfId="0"/>
    <xf numFmtId="303" fontId="35" fillId="11" borderId="50" xfId="0"/>
    <xf numFmtId="303" fontId="22" fillId="11" borderId="50" xfId="0"/>
  </cellStyleXfs>
  <cellXfs count="214">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3" fontId="3" fillId="0" borderId="50" xfId="0" applyFont="true" applyAlignment="true">
      <alignment horizontal="left" vertical="top"/>
    </xf>
    <xf numFmtId="303" fontId="3" fillId="0" borderId="50" xfId="0" applyFont="true" applyAlignment="true">
      <alignment horizontal="left" vertical="top" wrapText="true"/>
    </xf>
    <xf numFmtId="303" fontId="3" fillId="0" borderId="50" xfId="0" applyFont="true" applyAlignment="true">
      <alignment vertical="top" wrapText="true"/>
    </xf>
    <xf numFmtId="303" fontId="3" fillId="0" borderId="50" xfId="0" applyFont="true"/>
    <xf numFmtId="303" fontId="4" fillId="0" borderId="50" xfId="0" applyFont="true" applyAlignment="true">
      <alignment vertical="center"/>
    </xf>
    <xf numFmtId="303" fontId="35" fillId="0" borderId="50" xfId="0"/>
    <xf numFmtId="303" fontId="5" fillId="0" borderId="50" xfId="0" applyFont="true" applyAlignment="true">
      <alignment vertical="center"/>
    </xf>
    <xf numFmtId="303" fontId="35" fillId="0" borderId="50" xfId="0" applyAlignment="true">
      <alignment horizontal="left" vertical="top"/>
    </xf>
    <xf numFmtId="303" fontId="5" fillId="0" borderId="50" xfId="0" applyFont="true"/>
    <xf numFmtId="303" fontId="35" fillId="2" borderId="50" xfId="0" applyFill="true"/>
    <xf numFmtId="303" fontId="6" fillId="3" borderId="1" xfId="1" applyFont="true" applyFill="true" applyBorder="true" applyAlignment="true">
      <alignment horizontal="left" wrapText="true" indent="1"/>
    </xf>
    <xf numFmtId="303" fontId="7" fillId="3" borderId="2" xfId="1" applyFont="true" applyFill="true" applyBorder="true" applyAlignment="true">
      <alignment horizontal="left" wrapText="true" indent="1"/>
    </xf>
    <xf numFmtId="303" fontId="22" fillId="3" borderId="50" xfId="2" applyFill="true" applyAlignment="true">
      <alignment vertical="center"/>
    </xf>
    <xf numFmtId="303" fontId="22" fillId="3" borderId="50" xfId="2" applyFill="true"/>
    <xf numFmtId="303" fontId="8" fillId="11" borderId="50" xfId="2" applyFont="true"/>
    <xf numFmtId="303" fontId="9" fillId="4" borderId="3" xfId="4" applyFont="true" applyFill="true" applyBorder="true" applyAlignment="true">
      <alignment wrapText="true"/>
    </xf>
    <xf numFmtId="0" fontId="10" fillId="4" borderId="4" xfId="4" applyNumberFormat="true" applyFont="true" applyFill="true" applyBorder="true" applyAlignment="true">
      <alignment horizontal="left" vertical="top" wrapText="true"/>
    </xf>
    <xf numFmtId="0" fontId="11" fillId="5" borderId="50" xfId="2" applyNumberFormat="true" applyFont="true" applyFill="true" applyAlignment="true">
      <alignment horizontal="left" vertical="center" wrapText="true"/>
    </xf>
    <xf numFmtId="0" fontId="12" fillId="5" borderId="50" xfId="2" applyNumberFormat="true" applyFont="true" applyFill="true" applyAlignment="true">
      <alignment horizontal="left" vertical="center" wrapText="true"/>
    </xf>
    <xf numFmtId="49" fontId="13" fillId="6" borderId="4" xfId="4" applyNumberFormat="true" applyFont="true" applyFill="true" applyBorder="true" applyAlignment="true">
      <alignment horizontal="left" vertical="top" wrapText="true" indent="1"/>
    </xf>
    <xf numFmtId="49" fontId="13" fillId="6" borderId="4" xfId="4" applyNumberFormat="true" applyFont="true" applyFill="true" applyBorder="true" applyAlignment="true">
      <alignment horizontal="left" vertical="top" wrapText="false" indent="1"/>
    </xf>
    <xf numFmtId="49" fontId="14" fillId="5" borderId="4" xfId="4" applyNumberFormat="true" applyFont="true" applyFill="true" applyBorder="true" applyAlignment="true">
      <alignment horizontal="left" vertical="top" wrapText="true" indent="1"/>
    </xf>
    <xf numFmtId="49" fontId="14" fillId="7" borderId="4" xfId="4" applyNumberFormat="true" applyFont="true" applyFill="true" applyBorder="true" applyAlignment="true">
      <alignment horizontal="left" vertical="top" wrapText="true" indent="1"/>
    </xf>
    <xf numFmtId="303" fontId="15" fillId="3" borderId="3" xfId="2" applyFont="true" applyFill="true" applyBorder="true"/>
    <xf numFmtId="303" fontId="15" fillId="3" borderId="50" xfId="2" applyFont="true" applyFill="true"/>
    <xf numFmtId="303" fontId="16" fillId="11" borderId="50" xfId="2" applyFont="true" applyAlignment="true">
      <alignment horizontal="center" wrapText="true"/>
    </xf>
    <xf numFmtId="303" fontId="22" fillId="3" borderId="3" xfId="2" applyFill="true" applyBorder="true"/>
    <xf numFmtId="303" fontId="6" fillId="3" borderId="50" xfId="6" applyFont="true" applyFill="true" applyAlignment="true">
      <alignment vertical="center" wrapText="true"/>
    </xf>
    <xf numFmtId="303" fontId="22" fillId="3" borderId="5" xfId="2" applyFill="true" applyBorder="true" applyAlignment="true">
      <alignment vertical="center"/>
    </xf>
    <xf numFmtId="303" fontId="17" fillId="11" borderId="50" xfId="2" applyFont="true" applyAlignment="true">
      <alignment wrapText="true"/>
    </xf>
    <xf numFmtId="49" fontId="18" fillId="8" borderId="6" xfId="3" applyNumberFormat="true" applyFont="true" applyFill="true" applyBorder="true"/>
    <xf numFmtId="49" fontId="18" fillId="8" borderId="7" xfId="3" applyNumberFormat="true" applyFont="true" applyFill="true" applyBorder="true"/>
    <xf numFmtId="49" fontId="18" fillId="8" borderId="8" xfId="3" applyNumberFormat="true" applyFont="true" applyFill="true" applyBorder="true"/>
    <xf numFmtId="0" fontId="19" fillId="3" borderId="50" xfId="2" applyNumberFormat="true" applyFont="true" applyFill="true"/>
    <xf numFmtId="49" fontId="20" fillId="9" borderId="9" xfId="4" applyNumberFormat="true" applyFont="true" applyFill="true" applyBorder="true"/>
    <xf numFmtId="303" fontId="21" fillId="3" borderId="10" xfId="4" applyFont="true" applyFill="true" applyBorder="true" applyAlignment="true">
      <alignment horizontal="left" vertical="center" indent="1"/>
    </xf>
    <xf numFmtId="303" fontId="22" fillId="3" borderId="11" xfId="2" applyFill="true" applyBorder="true" applyAlignment="true">
      <alignment vertical="center"/>
    </xf>
    <xf numFmtId="303" fontId="21" fillId="3" borderId="12" xfId="4" applyFont="true" applyFill="true" applyBorder="true" applyAlignment="true">
      <alignment horizontal="left" vertical="top" indent="1"/>
    </xf>
    <xf numFmtId="0" fontId="21" fillId="10" borderId="13" xfId="4" applyNumberFormat="true" applyFont="true" applyFill="true" applyBorder="true" applyAlignment="true">
      <alignment horizontal="left" vertical="top" wrapText="true" indent="1"/>
    </xf>
    <xf numFmtId="303" fontId="21" fillId="10" borderId="13" xfId="4" applyFont="true" applyFill="true" applyBorder="true" applyAlignment="true">
      <alignment horizontal="left" vertical="top" wrapText="true" indent="1"/>
    </xf>
    <xf numFmtId="49" fontId="21" fillId="3" borderId="14" xfId="4" applyNumberFormat="true" applyFont="true" applyFill="true" applyBorder="true" applyAlignment="true">
      <alignment horizontal="left" vertical="top" wrapText="true" indent="1"/>
    </xf>
    <xf numFmtId="49" fontId="21" fillId="3" borderId="4" xfId="4" applyNumberFormat="true" applyFont="true" applyFill="true" applyBorder="true" applyAlignment="true">
      <alignment horizontal="left" vertical="top" wrapText="true" indent="1"/>
    </xf>
    <xf numFmtId="0" fontId="21" fillId="11" borderId="15" xfId="4" applyNumberFormat="true" applyFont="true" applyFill="true" applyBorder="true" applyAlignment="true">
      <alignment horizontal="left" vertical="top" indent="1"/>
    </xf>
    <xf numFmtId="303" fontId="22" fillId="11" borderId="50" xfId="2"/>
    <xf numFmtId="0" fontId="19" fillId="3" borderId="50" xfId="2" applyNumberFormat="true" applyFont="true" applyFill="true" applyAlignment="true">
      <alignment wrapText="true"/>
    </xf>
    <xf numFmtId="303" fontId="21" fillId="11" borderId="15" xfId="4" applyFont="true" applyFill="true" applyBorder="true" applyAlignment="true">
      <alignment horizontal="left" vertical="center" indent="1"/>
    </xf>
    <xf numFmtId="303" fontId="22" fillId="11" borderId="50" xfId="2" applyAlignment="true">
      <alignment vertical="center"/>
    </xf>
    <xf numFmtId="49" fontId="21" fillId="3" borderId="16" xfId="4" applyNumberFormat="true" applyFont="true" applyFill="true" applyBorder="true" applyAlignment="true">
      <alignment horizontal="left" vertical="top" wrapText="true" indent="1"/>
    </xf>
    <xf numFmtId="303" fontId="21" fillId="3" borderId="15" xfId="4" applyFont="true" applyFill="true" applyBorder="true" applyAlignment="true">
      <alignment horizontal="left" vertical="center" indent="1"/>
    </xf>
    <xf numFmtId="300" fontId="21" fillId="12" borderId="16" xfId="3" applyNumberFormat="true" applyFont="true" applyFill="true" applyBorder="true" applyAlignment="true">
      <alignment horizontal="left" vertical="top" wrapText="true" indent="1"/>
    </xf>
    <xf numFmtId="303" fontId="22" fillId="3" borderId="12" xfId="0" applyFont="true" applyFill="true" applyBorder="true"/>
    <xf numFmtId="303" fontId="35" fillId="3" borderId="50" xfId="0" applyFill="true"/>
    <xf numFmtId="303" fontId="35" fillId="3" borderId="50" xfId="0" applyFill="true" applyAlignment="true">
      <alignment horizontal="center" vertical="center"/>
    </xf>
    <xf numFmtId="303" fontId="21" fillId="10" borderId="17" xfId="4" applyFont="true" applyFill="true" applyBorder="true" applyAlignment="true">
      <alignment horizontal="left" vertical="top" wrapText="true" indent="1"/>
    </xf>
    <xf numFmtId="2" fontId="21" fillId="3" borderId="14" xfId="4" applyNumberFormat="true" applyFont="true" applyFill="true" applyBorder="true" applyAlignment="true">
      <alignment horizontal="left" vertical="top" wrapText="true" indent="1"/>
    </xf>
    <xf numFmtId="303" fontId="23" fillId="13" borderId="1" xfId="4" applyFont="true" applyFill="true" applyBorder="true" applyAlignment="true">
      <alignment vertical="center"/>
    </xf>
    <xf numFmtId="303" fontId="23" fillId="13" borderId="18" xfId="4" applyFont="true" applyFill="true" applyBorder="true" applyAlignment="true">
      <alignment vertical="center"/>
    </xf>
    <xf numFmtId="303" fontId="23" fillId="13" borderId="19" xfId="4" applyFont="true" applyFill="true" applyBorder="true" applyAlignment="true">
      <alignment vertical="center"/>
    </xf>
    <xf numFmtId="303" fontId="7" fillId="13" borderId="20" xfId="4" applyFont="true" applyFill="true" applyBorder="true" applyAlignment="true">
      <alignment vertical="center"/>
    </xf>
    <xf numFmtId="303" fontId="24" fillId="14" borderId="19" xfId="4" applyFont="true" applyFill="true" applyBorder="true" applyAlignment="true">
      <alignment horizontal="center" vertical="center"/>
    </xf>
    <xf numFmtId="301" fontId="21" fillId="14" borderId="14" xfId="4" applyNumberFormat="true" applyFont="true" applyFill="true" applyBorder="true" applyAlignment="true">
      <alignment horizontal="left" vertical="top" wrapText="true" indent="1"/>
    </xf>
    <xf numFmtId="303" fontId="21" fillId="14" borderId="16" xfId="4" applyFont="true" applyFill="true" applyBorder="true" applyAlignment="true">
      <alignment horizontal="left" vertical="top" wrapText="true" indent="1"/>
    </xf>
    <xf numFmtId="303" fontId="25" fillId="3" borderId="21" xfId="4" applyFont="true" applyFill="true" applyBorder="true" applyAlignment="true">
      <alignment horizontal="left" vertical="center" indent="1"/>
    </xf>
    <xf numFmtId="303" fontId="22" fillId="3" borderId="22" xfId="2" applyFill="true" applyBorder="true" applyAlignment="true">
      <alignment vertical="center"/>
    </xf>
    <xf numFmtId="303" fontId="21" fillId="14" borderId="17" xfId="4" applyFont="true" applyFill="true" applyBorder="true" applyAlignment="true">
      <alignment horizontal="left" vertical="top" wrapText="true" indent="1"/>
    </xf>
    <xf numFmtId="49" fontId="18" fillId="8" borderId="6" xfId="3" applyNumberFormat="true" applyFont="true" applyFill="true" applyBorder="true" applyAlignment="true">
      <alignment vertical="center"/>
    </xf>
    <xf numFmtId="49" fontId="18" fillId="8" borderId="7" xfId="3" applyNumberFormat="true" applyFont="true" applyFill="true" applyBorder="true" applyAlignment="true">
      <alignment vertical="center"/>
    </xf>
    <xf numFmtId="0" fontId="21" fillId="10" borderId="23" xfId="4" applyNumberFormat="true" applyFont="true" applyFill="true" applyBorder="true" applyAlignment="true">
      <alignment horizontal="left" vertical="top" wrapText="true" indent="1"/>
    </xf>
    <xf numFmtId="303" fontId="21" fillId="10" borderId="23" xfId="4" applyFont="true" applyFill="true" applyBorder="true" applyAlignment="true">
      <alignment horizontal="left" vertical="top" wrapText="true" indent="1"/>
    </xf>
    <xf numFmtId="49" fontId="7" fillId="15" borderId="24" xfId="0">
      <alignment horizontal="left" vertical="top" textRotation="0" wrapText="true" indent="1" justifyLastLine="false" shrinkToFit="false"/>
    </xf>
    <xf numFmtId="49" fontId="21" fillId="14" borderId="14" xfId="4" applyNumberFormat="true" applyFont="true" applyFill="true" applyBorder="true" applyAlignment="true">
      <alignment horizontal="left" vertical="top" wrapText="true" indent="1"/>
    </xf>
    <xf numFmtId="0" fontId="21" fillId="10" borderId="14" xfId="4" applyNumberFormat="true" applyFont="true" applyFill="true" applyBorder="true" applyAlignment="true">
      <alignment horizontal="left" vertical="top" wrapText="true" indent="1"/>
    </xf>
    <xf numFmtId="303" fontId="21" fillId="10" borderId="14" xfId="4" applyFont="true" applyFill="true" applyBorder="true" applyAlignment="true">
      <alignment horizontal="left" vertical="top" wrapText="true" indent="1"/>
    </xf>
    <xf numFmtId="0" fontId="21" fillId="3" borderId="14" xfId="4" applyNumberFormat="true" applyFont="true" applyFill="true" applyBorder="true" applyAlignment="true">
      <alignment horizontal="left" vertical="top" wrapText="true" indent="1"/>
    </xf>
    <xf numFmtId="303" fontId="21" fillId="3" borderId="14" xfId="4" applyFont="true" applyFill="true" applyBorder="true" applyAlignment="true">
      <alignment horizontal="left" vertical="top" wrapText="true" indent="1"/>
    </xf>
    <xf numFmtId="303" fontId="23" fillId="11" borderId="1" xfId="4" applyFont="true" applyFill="true" applyBorder="true" applyAlignment="true">
      <alignment vertical="center"/>
    </xf>
    <xf numFmtId="303" fontId="25" fillId="3" borderId="10" xfId="4" applyFont="true" applyFill="true" applyBorder="true" applyAlignment="true">
      <alignment horizontal="left" vertical="center" indent="1"/>
    </xf>
    <xf numFmtId="303" fontId="26" fillId="3" borderId="11" xfId="2" applyFont="true" applyFill="true" applyBorder="true" applyAlignment="true">
      <alignment vertical="center"/>
    </xf>
    <xf numFmtId="303" fontId="21" fillId="11" borderId="15" xfId="4" applyFont="true" applyFill="true" applyBorder="true" applyAlignment="true">
      <alignment horizontal="left" vertical="top" indent="1"/>
    </xf>
    <xf numFmtId="1" fontId="21" fillId="3" borderId="14" xfId="4" applyNumberFormat="true" applyFont="true" applyFill="true" applyBorder="true" applyAlignment="true">
      <alignment horizontal="left" vertical="top" wrapText="true" indent="1"/>
    </xf>
    <xf numFmtId="303" fontId="23" fillId="13" borderId="25" xfId="4" applyFont="true" applyFill="true" applyBorder="true" applyAlignment="true">
      <alignment vertical="center"/>
    </xf>
    <xf numFmtId="303" fontId="23" fillId="13" borderId="26" xfId="4" applyFont="true" applyFill="true" applyBorder="true" applyAlignment="true">
      <alignment vertical="center"/>
    </xf>
    <xf numFmtId="303" fontId="7" fillId="13" borderId="17" xfId="4" applyFont="true" applyFill="true" applyBorder="true" applyAlignment="true">
      <alignment vertical="center"/>
    </xf>
    <xf numFmtId="0" fontId="21" fillId="10" borderId="17" xfId="4" applyNumberFormat="true" applyFont="true" applyFill="true" applyBorder="true" applyAlignment="true">
      <alignment horizontal="left" vertical="top" wrapText="true" indent="1"/>
    </xf>
    <xf numFmtId="303" fontId="25" fillId="3" borderId="15" xfId="4" applyFont="true" applyFill="true" applyBorder="true" applyAlignment="true">
      <alignment horizontal="left" vertical="center" indent="1"/>
    </xf>
    <xf numFmtId="0" fontId="21" fillId="10" borderId="20" xfId="4" applyNumberFormat="true" applyFont="true" applyFill="true" applyBorder="true" applyAlignment="true">
      <alignment horizontal="left" vertical="top" wrapText="true" indent="1"/>
    </xf>
    <xf numFmtId="303" fontId="21" fillId="10" borderId="20" xfId="4" applyFont="true" applyFill="true" applyBorder="true" applyAlignment="true">
      <alignment horizontal="left" vertical="top" wrapText="true" indent="1"/>
    </xf>
    <xf numFmtId="0" fontId="21" fillId="10" borderId="4" xfId="4" applyNumberFormat="true" applyFont="true" applyFill="true" applyBorder="true" applyAlignment="true">
      <alignment horizontal="left" vertical="top" wrapText="true" indent="1"/>
    </xf>
    <xf numFmtId="303" fontId="21" fillId="10" borderId="4" xfId="4" applyFont="true" applyFill="true" applyBorder="true" applyAlignment="true">
      <alignment horizontal="left" vertical="top" wrapText="true" indent="1"/>
    </xf>
    <xf numFmtId="303" fontId="21" fillId="11" borderId="27" xfId="4" applyFont="true" applyFill="true" applyBorder="true" applyAlignment="true">
      <alignment horizontal="left" vertical="center" indent="1"/>
    </xf>
    <xf numFmtId="0" fontId="21" fillId="10" borderId="28" xfId="4" applyNumberFormat="true" applyFont="true" applyFill="true" applyBorder="true" applyAlignment="true">
      <alignment horizontal="left" vertical="top" wrapText="true" indent="1"/>
    </xf>
    <xf numFmtId="303" fontId="21" fillId="10" borderId="28" xfId="4" applyFont="true" applyFill="true" applyBorder="true" applyAlignment="true">
      <alignment horizontal="left" vertical="top" wrapText="true" indent="1"/>
    </xf>
    <xf numFmtId="303" fontId="27" fillId="3" borderId="12" xfId="0" applyFont="true" applyFill="true" applyBorder="true" applyAlignment="true">
      <alignment vertical="center" wrapText="true"/>
    </xf>
    <xf numFmtId="303" fontId="21" fillId="11" borderId="29" xfId="4" applyFont="true" applyFill="true" applyBorder="true" applyAlignment="true">
      <alignment horizontal="left" vertical="top" indent="1"/>
    </xf>
    <xf numFmtId="49" fontId="28" fillId="6" borderId="4" xfId="4" applyNumberFormat="true" applyFont="true" applyFill="true" applyBorder="true" applyAlignment="true">
      <alignment horizontal="left" vertical="top" wrapText="true" indent="1"/>
    </xf>
    <xf numFmtId="303" fontId="21" fillId="11" borderId="30" xfId="4" applyFont="true" applyFill="true" applyBorder="true" applyAlignment="true">
      <alignment horizontal="left" vertical="center" indent="1"/>
    </xf>
    <xf numFmtId="303" fontId="21" fillId="11" borderId="18" xfId="4" applyFont="true" applyFill="true" applyBorder="true" applyAlignment="true">
      <alignment horizontal="left" vertical="center" indent="1"/>
    </xf>
    <xf numFmtId="0" fontId="21" fillId="11" borderId="30" xfId="4" applyNumberFormat="true" applyFont="true" applyFill="true" applyBorder="true" applyAlignment="true">
      <alignment horizontal="left" vertical="center" indent="1"/>
    </xf>
    <xf numFmtId="1" fontId="21" fillId="10" borderId="20" xfId="4" applyNumberFormat="true" applyFont="true" applyFill="true" applyBorder="true" applyAlignment="true">
      <alignment horizontal="left" vertical="top" wrapText="true" indent="1"/>
    </xf>
    <xf numFmtId="303" fontId="21" fillId="11" borderId="31" xfId="4" applyFont="true" applyFill="true" applyBorder="true" applyAlignment="true">
      <alignment horizontal="left" vertical="center" indent="1"/>
    </xf>
    <xf numFmtId="303" fontId="21" fillId="11" borderId="32" xfId="4" applyFont="true" applyFill="true" applyBorder="true" applyAlignment="true">
      <alignment horizontal="left" vertical="center" indent="1"/>
    </xf>
    <xf numFmtId="303" fontId="21" fillId="3" borderId="29" xfId="4" applyFont="true" applyFill="true" applyBorder="true" applyAlignment="true">
      <alignment horizontal="left" vertical="top" indent="1"/>
    </xf>
    <xf fontId="7" fillId="16" borderId="24" xfId="0">
      <alignment vertical="top" textRotation="0" wrapText="true" indent="1" justifyLastLine="false" shrinkToFit="false"/>
    </xf>
    <xf numFmtId="303" fontId="28" fillId="3" borderId="32" xfId="4" applyFont="true" applyFill="true" applyBorder="true" applyAlignment="true">
      <alignment horizontal="left" vertical="center" wrapText="true" indent="1"/>
    </xf>
    <xf numFmtId="0" fontId="21" fillId="10" borderId="17" xfId="4" applyNumberFormat="true" applyFont="true" applyFill="true" applyBorder="true" applyAlignment="true">
      <alignment horizontal="left" vertical="top" textRotation="0" wrapText="true" indent="1" justifyLastLine="false" shrinkToFit="false"/>
    </xf>
    <xf numFmtId="2" fontId="21" fillId="5" borderId="14" xfId="4" applyNumberFormat="true" applyFont="true" applyFill="true" applyBorder="true" applyAlignment="true">
      <alignment horizontal="left" vertical="top" wrapText="true" indent="1"/>
    </xf>
    <xf numFmtId="0" fontId="21" fillId="3" borderId="15" xfId="4" applyNumberFormat="true" applyFont="true" applyFill="true" applyBorder="true" applyAlignment="true">
      <alignment horizontal="left" vertical="center" indent="1"/>
    </xf>
    <xf numFmtId="303" fontId="21" fillId="5" borderId="17" xfId="4" applyFont="true" applyFill="true" applyBorder="true" applyAlignment="true">
      <alignment horizontal="left" vertical="top" wrapText="true" indent="1"/>
    </xf>
    <xf numFmtId="49" fontId="21" fillId="17" borderId="14" xfId="4" applyNumberFormat="true" applyFont="true" applyFill="true" applyBorder="true" applyAlignment="true">
      <alignment horizontal="left" vertical="top" wrapText="true" indent="1"/>
    </xf>
    <xf numFmtId="0" fontId="21" fillId="11" borderId="15" xfId="4" applyNumberFormat="true" applyFont="true" applyFill="true" applyBorder="true" applyAlignment="true">
      <alignment horizontal="left" vertical="center" indent="1"/>
    </xf>
    <xf numFmtId="0" fontId="6" fillId="10" borderId="17" xfId="4" applyNumberFormat="true" applyFont="true" applyFill="true" applyBorder="true" applyAlignment="true">
      <alignment horizontal="left" vertical="top" wrapText="true" indent="1"/>
    </xf>
    <xf numFmtId="0" fontId="7" fillId="10" borderId="17" xfId="4" applyNumberFormat="true" applyFont="true" applyFill="true" applyBorder="true" applyAlignment="true">
      <alignment horizontal="left" vertical="top" wrapText="true" indent="1"/>
    </xf>
    <xf numFmtId="0" fontId="21" fillId="3" borderId="13" xfId="4" applyNumberFormat="true" applyFont="true" applyFill="true" applyBorder="true" applyAlignment="true">
      <alignment horizontal="left" vertical="top" wrapText="true" indent="1"/>
    </xf>
    <xf numFmtId="2" fontId="21" fillId="3" borderId="13" xfId="4" applyNumberFormat="true" applyFont="true" applyFill="true" applyBorder="true" applyAlignment="true">
      <alignment horizontal="left" vertical="top" wrapText="true" indent="1"/>
    </xf>
    <xf numFmtId="0" fontId="25" fillId="3" borderId="21" xfId="4" applyNumberFormat="true" applyFont="true" applyFill="true" applyBorder="true" applyAlignment="true">
      <alignment horizontal="left" vertical="center" indent="1"/>
    </xf>
    <xf numFmtId="303" fontId="22" fillId="3" borderId="27" xfId="0" applyFont="true" applyFill="true" applyBorder="true" applyAlignment="true">
      <alignment vertical="center"/>
    </xf>
    <xf numFmtId="49" fontId="7" fillId="3" borderId="14" xfId="4" applyNumberFormat="true" applyFont="true" applyFill="true" applyBorder="true" applyAlignment="true">
      <alignment horizontal="left" vertical="top" wrapText="true" indent="1"/>
    </xf>
    <xf numFmtId="303" fontId="21" fillId="3" borderId="50" xfId="4" applyFont="true" applyFill="true" applyAlignment="true">
      <alignment horizontal="left" vertical="center" indent="1"/>
    </xf>
    <xf numFmtId="303" fontId="21" fillId="11" borderId="50" xfId="4" applyFont="true" applyFill="true" applyAlignment="true">
      <alignment horizontal="left" vertical="center" indent="1"/>
    </xf>
    <xf numFmtId="0" fontId="21" fillId="3" borderId="50" xfId="4" applyNumberFormat="true" applyFont="true" applyFill="true" applyAlignment="true">
      <alignment horizontal="left" vertical="center" indent="1"/>
    </xf>
    <xf fontId="29" fillId="15" borderId="33" xfId="0">
      <alignment vertical="bottom" textRotation="0" wrapText="true" indent="0" justifyLastLine="false" shrinkToFit="false"/>
    </xf>
    <xf numFmtId="303" fontId="21" fillId="11" borderId="12" xfId="4" applyFont="true" applyFill="true" applyBorder="true" applyAlignment="true">
      <alignment horizontal="left" vertical="top" indent="1"/>
    </xf>
    <xf numFmtId="303" fontId="21" fillId="11" borderId="17" xfId="4" applyFont="true" applyFill="true" applyBorder="true" applyAlignment="true">
      <alignment horizontal="left" vertical="top" wrapText="true" indent="1"/>
    </xf>
    <xf numFmtId="303" fontId="22" fillId="3" borderId="12" xfId="2" applyFill="true" applyBorder="true"/>
    <xf numFmtId="303" fontId="21" fillId="5" borderId="14" xfId="4" applyFont="true" applyFill="true" applyBorder="true" applyAlignment="true">
      <alignment horizontal="left" vertical="top" wrapText="true" indent="1"/>
    </xf>
    <xf numFmtId="1" fontId="21" fillId="5" borderId="14" xfId="4" applyNumberFormat="true" applyFont="true" applyFill="true" applyBorder="true" applyAlignment="true">
      <alignment horizontal="left" vertical="top" wrapText="true" indent="1"/>
    </xf>
    <xf numFmtId="0" fontId="21" fillId="17" borderId="17" xfId="4" applyNumberFormat="true" applyFont="true" applyFill="true" applyBorder="true" applyAlignment="true">
      <alignment horizontal="left" vertical="top" wrapText="true" indent="1"/>
    </xf>
    <xf numFmtId="49" fontId="7" fillId="5" borderId="24" xfId="0">
      <alignment horizontal="left" vertical="top" textRotation="0" wrapText="true" indent="1" justifyLastLine="false" shrinkToFit="false"/>
    </xf>
    <xf numFmtId="0" fontId="21" fillId="18" borderId="4" xfId="3" applyNumberFormat="true" applyFont="true" applyFill="true" applyBorder="true" applyAlignment="true">
      <alignment horizontal="left" vertical="top" wrapText="true" indent="1"/>
    </xf>
    <xf numFmtId="49" fontId="21" fillId="18" borderId="4" xfId="3" applyNumberFormat="true" applyFont="true" applyFill="true" applyBorder="true" applyAlignment="true">
      <alignment horizontal="left" vertical="top" wrapText="true" indent="1"/>
    </xf>
    <xf numFmtId="303" fontId="23" fillId="13" borderId="34" xfId="4" applyFont="true" applyFill="true" applyBorder="true" applyAlignment="true">
      <alignment vertical="center"/>
    </xf>
    <xf numFmtId="303" fontId="23" fillId="13" borderId="35" xfId="4" applyFont="true" applyFill="true" applyBorder="true" applyAlignment="true">
      <alignment vertical="center"/>
    </xf>
    <xf numFmtId="303" fontId="7" fillId="13" borderId="28" xfId="4" applyFont="true" applyFill="true" applyBorder="true" applyAlignment="true">
      <alignment vertical="center"/>
    </xf>
    <xf numFmtId="303" fontId="21" fillId="3" borderId="36" xfId="4" applyFont="true" applyFill="true" applyBorder="true" applyAlignment="true">
      <alignment horizontal="left" vertical="top" indent="1"/>
    </xf>
    <xf numFmtId="49" fontId="21" fillId="18" borderId="17" xfId="3" applyNumberFormat="true" applyFont="true" applyFill="true" applyBorder="true" applyAlignment="true">
      <alignment vertical="center" wrapText="true"/>
    </xf>
    <xf numFmtId="0" fontId="30" fillId="3" borderId="50" xfId="2" applyNumberFormat="true" applyFont="true" applyFill="true" applyAlignment="true">
      <alignment horizontal="center" vertical="center"/>
    </xf>
    <xf numFmtId="1" fontId="21" fillId="10" borderId="17" xfId="4" applyNumberFormat="true" applyFont="true" applyFill="true" applyBorder="true" applyAlignment="true">
      <alignment horizontal="left" vertical="top" wrapText="true" indent="1"/>
    </xf>
    <xf numFmtId="2" fontId="21" fillId="11" borderId="17" xfId="4" applyNumberFormat="true" applyFont="true" applyFill="true" applyBorder="true" applyAlignment="true">
      <alignment horizontal="left" vertical="top" wrapText="true" indent="1"/>
    </xf>
    <xf numFmtId="303" fontId="23" fillId="13" borderId="37" xfId="4" applyFont="true" applyFill="true" applyBorder="true" applyAlignment="true">
      <alignment vertical="center"/>
    </xf>
    <xf numFmtId="303" fontId="21" fillId="11" borderId="38" xfId="4" applyFont="true" applyFill="true" applyBorder="true" applyAlignment="true">
      <alignment horizontal="left" vertical="top" indent="1"/>
    </xf>
    <xf numFmtId="0" fontId="21" fillId="11" borderId="29" xfId="4" applyNumberFormat="true" applyFont="true" applyFill="true" applyBorder="true" applyAlignment="true">
      <alignment horizontal="left" vertical="top" indent="1"/>
    </xf>
    <xf numFmtId="0" fontId="6" fillId="17" borderId="17" xfId="4" applyNumberFormat="true" applyFont="true" applyFill="true" applyBorder="true" applyAlignment="true">
      <alignment horizontal="left" vertical="top" wrapText="true" indent="1"/>
    </xf>
    <xf numFmtId="0" fontId="31" fillId="11" borderId="39" xfId="0" applyNumberFormat="true" applyFont="true" applyFill="true" applyBorder="true"/>
    <xf numFmtId="302" fontId="21" fillId="3" borderId="14" xfId="4" applyNumberFormat="true" applyFont="true" applyFill="true" applyBorder="true" applyAlignment="true">
      <alignment horizontal="left" vertical="top" wrapText="true" indent="1"/>
    </xf>
    <xf numFmtId="0" fontId="32" fillId="15" borderId="33" xfId="0" applyNumberFormat="true" applyFont="true" applyFill="true" applyBorder="true"/>
    <xf numFmtId="303" fontId="23" fillId="13" borderId="40" xfId="4" applyFont="true" applyFill="true" applyBorder="true" applyAlignment="true">
      <alignment vertical="center"/>
    </xf>
    <xf numFmtId="2" fontId="21" fillId="14" borderId="14" xfId="4" applyNumberFormat="true" applyFont="true" applyFill="true" applyBorder="true" applyAlignment="true">
      <alignment horizontal="left" vertical="top" wrapText="true" indent="1"/>
    </xf>
    <xf numFmtId="2" fontId="21" fillId="14" borderId="16" xfId="4" applyNumberFormat="true" applyFont="true" applyFill="true" applyBorder="true" applyAlignment="true">
      <alignment horizontal="left" vertical="top" wrapText="true" indent="1"/>
    </xf>
    <xf numFmtId="303" fontId="21" fillId="3" borderId="41" xfId="4" applyFont="true" applyFill="true" applyBorder="true" applyAlignment="true">
      <alignment horizontal="left" vertical="center" indent="1"/>
    </xf>
    <xf numFmtId="303" fontId="21" fillId="3" borderId="42" xfId="4" applyFont="true" applyFill="true" applyBorder="true" applyAlignment="true">
      <alignment horizontal="left" vertical="center" indent="1"/>
    </xf>
    <xf numFmtId="303" fontId="21" fillId="3" borderId="43" xfId="4" applyFont="true" applyFill="true" applyBorder="true" applyAlignment="true">
      <alignment horizontal="left" vertical="top" indent="1"/>
    </xf>
    <xf numFmtId="303" fontId="33" fillId="19" borderId="50" xfId="5" applyFont="true" applyFill="true" applyAlignment="true">
      <alignment horizontal="center" vertical="top"/>
    </xf>
    <xf numFmtId="303" fontId="3" fillId="20" borderId="50" xfId="0" applyFont="true" applyFill="true" applyAlignment="true">
      <alignment horizontal="center" vertical="center"/>
    </xf>
    <xf numFmtId="303" fontId="3" fillId="21" borderId="50" xfId="0" applyFont="true" applyFill="true" applyAlignment="true">
      <alignment horizontal="center" vertical="center"/>
    </xf>
    <xf numFmtId="303" fontId="3" fillId="22" borderId="50" xfId="0" applyFont="true" applyFill="true" applyAlignment="true">
      <alignment horizontal="center" vertical="center"/>
    </xf>
    <xf numFmtId="303" fontId="3" fillId="23" borderId="50" xfId="0" applyFont="true" applyFill="true"/>
    <xf numFmtId="303" fontId="35" fillId="0" borderId="50" xfId="0" applyAlignment="true">
      <alignment horizontal="left" vertical="top" wrapText="true"/>
    </xf>
    <xf numFmtId="303" fontId="35" fillId="0" borderId="50" xfId="0" applyAlignment="true">
      <alignment vertical="top" wrapText="true"/>
    </xf>
    <xf numFmtId="303" fontId="33" fillId="24" borderId="50" xfId="0" applyFont="true" applyFill="true" applyAlignment="true">
      <alignment horizontal="center" vertical="center"/>
    </xf>
    <xf numFmtId="303" fontId="34" fillId="0" borderId="50" xfId="0" applyFont="true" applyAlignment="true">
      <alignment horizontal="left" vertical="top" wrapText="true"/>
    </xf>
    <xf numFmtId="303" fontId="3" fillId="0" borderId="50" xfId="0" applyFont="true" applyAlignment="true">
      <alignment horizontal="center" vertical="center" wrapText="true"/>
    </xf>
    <xf numFmtId="303" fontId="35" fillId="0" borderId="50" xfId="0" applyFont="true" applyAlignment="true">
      <alignment horizontal="left" vertical="top" wrapText="true"/>
    </xf>
    <xf numFmtId="303" fontId="35" fillId="0" borderId="50" xfId="0" applyAlignment="true">
      <alignment wrapText="true"/>
    </xf>
    <xf numFmtId="303" fontId="35" fillId="0" borderId="50" xfId="0" applyAlignment="true">
      <alignment horizontal="center" vertical="top" wrapText="true"/>
    </xf>
    <xf numFmtId="303" fontId="35" fillId="0" borderId="50" xfId="0" applyAlignment="true">
      <alignment horizontal="center" vertical="center" wrapText="true"/>
    </xf>
    <xf numFmtId="303" fontId="36" fillId="24" borderId="50" xfId="0" applyFont="true" applyFill="true" applyAlignment="true">
      <alignment horizontal="center" vertical="center"/>
    </xf>
    <xf numFmtId="303" fontId="37" fillId="24" borderId="50" xfId="0" applyFont="true" applyFill="true" applyAlignment="true">
      <alignment horizontal="center"/>
    </xf>
    <xf numFmtId="49" fontId="38" fillId="4" borderId="4" xfId="4" applyNumberFormat="true" applyFont="true" applyFill="true" applyBorder="true" applyAlignment="true">
      <alignment horizontal="left" vertical="top" wrapText="true"/>
    </xf>
    <xf numFmtId="303" fontId="39" fillId="0" borderId="4" xfId="0" applyFont="true" applyBorder="true" applyAlignment="true">
      <alignment horizontal="center" vertical="top" wrapText="true"/>
    </xf>
    <xf numFmtId="303" fontId="40" fillId="0" borderId="50" xfId="0" applyFont="true" applyAlignment="true">
      <alignment horizontal="center"/>
    </xf>
    <xf numFmtId="49" fontId="18" fillId="8" borderId="44" xfId="3" applyNumberFormat="true" applyFont="true" applyFill="true" applyBorder="true"/>
    <xf numFmtId="303" fontId="21" fillId="3" borderId="10" xfId="4" applyFont="true" applyFill="true" applyBorder="true" applyAlignment="true">
      <alignment horizontal="left" vertical="top" indent="1"/>
    </xf>
    <xf numFmtId="303" fontId="22" fillId="3" borderId="11" xfId="2" applyFill="true" applyBorder="true"/>
    <xf numFmtId="303" fontId="39" fillId="25" borderId="4" xfId="0" applyFont="true" applyFill="true" applyBorder="true" applyAlignment="true">
      <alignment horizontal="center"/>
    </xf>
    <xf numFmtId="303" fontId="27" fillId="3" borderId="50" xfId="0" applyFont="true" applyFill="true" applyAlignment="true">
      <alignment vertical="center" wrapText="true"/>
    </xf>
    <xf numFmtId="303" fontId="39" fillId="0" borderId="4" xfId="0" applyFont="true" applyBorder="true" applyAlignment="true">
      <alignment horizontal="center"/>
    </xf>
    <xf numFmtId="303" fontId="21" fillId="3" borderId="15" xfId="4" applyFont="true" applyFill="true" applyBorder="true" applyAlignment="true">
      <alignment horizontal="left" vertical="top" indent="1"/>
    </xf>
    <xf numFmtId="303" fontId="40" fillId="26" borderId="50" xfId="0" applyFont="true" applyFill="true" applyAlignment="true">
      <alignment horizontal="center"/>
    </xf>
    <xf numFmtId="303" fontId="40" fillId="25" borderId="50" xfId="0" applyFont="true" applyFill="true" applyAlignment="true">
      <alignment horizontal="center"/>
    </xf>
    <xf numFmtId="303" fontId="21" fillId="3" borderId="50" xfId="4" applyFont="true" applyFill="true" applyAlignment="true">
      <alignment horizontal="left" vertical="top" indent="1"/>
    </xf>
    <xf numFmtId="303" fontId="23" fillId="13" borderId="45" xfId="4" applyFont="true" applyFill="true" applyBorder="true" applyAlignment="true">
      <alignment vertical="center"/>
    </xf>
    <xf numFmtId="303" fontId="23" fillId="13" borderId="46" xfId="4" applyFont="true" applyFill="true" applyBorder="true" applyAlignment="true">
      <alignment vertical="center"/>
    </xf>
    <xf numFmtId="303" fontId="39" fillId="0" borderId="4" xfId="0" applyFont="true" applyBorder="true" applyAlignment="true">
      <alignment horizontal="center" wrapText="true"/>
    </xf>
    <xf numFmtId="303" fontId="24" fillId="14" borderId="45" xfId="4" applyFont="true" applyFill="true" applyBorder="true" applyAlignment="true">
      <alignment horizontal="center" vertical="center"/>
    </xf>
    <xf numFmtId="303" fontId="25" fillId="3" borderId="21" xfId="4" applyFont="true" applyFill="true" applyBorder="true" applyAlignment="true">
      <alignment horizontal="left" vertical="top" indent="1"/>
    </xf>
    <xf numFmtId="303" fontId="22" fillId="3" borderId="22" xfId="2" applyFill="true" applyBorder="true"/>
    <xf numFmtId="303" fontId="25" fillId="3" borderId="10" xfId="4" applyFont="true" applyFill="true" applyBorder="true" applyAlignment="true">
      <alignment horizontal="left" vertical="top" indent="1"/>
    </xf>
    <xf numFmtId="303" fontId="26" fillId="3" borderId="11" xfId="2" applyFont="true" applyFill="true" applyBorder="true"/>
    <xf numFmtId="303" fontId="40" fillId="25" borderId="4" xfId="0" applyFont="true" applyFill="true" applyBorder="true" applyAlignment="true">
      <alignment horizontal="center"/>
    </xf>
    <xf numFmtId="303" fontId="25" fillId="3" borderId="15" xfId="4" applyFont="true" applyFill="true" applyBorder="true" applyAlignment="true">
      <alignment horizontal="left" vertical="top" indent="1"/>
    </xf>
    <xf numFmtId="303" fontId="21" fillId="11" borderId="27" xfId="4" applyFont="true" applyFill="true" applyBorder="true" applyAlignment="true">
      <alignment horizontal="left" vertical="top" indent="1"/>
    </xf>
    <xf numFmtId="303" fontId="21" fillId="11" borderId="30" xfId="4" applyFont="true" applyFill="true" applyBorder="true" applyAlignment="true">
      <alignment horizontal="left" vertical="top" indent="1"/>
    </xf>
    <xf numFmtId="303" fontId="21" fillId="11" borderId="18" xfId="4" applyFont="true" applyFill="true" applyBorder="true" applyAlignment="true">
      <alignment horizontal="left" vertical="top" indent="1"/>
    </xf>
    <xf numFmtId="303" fontId="21" fillId="11" borderId="31" xfId="4" applyFont="true" applyFill="true" applyBorder="true" applyAlignment="true">
      <alignment horizontal="left" vertical="top" indent="1"/>
    </xf>
    <xf numFmtId="303" fontId="21" fillId="11" borderId="32" xfId="4" applyFont="true" applyFill="true" applyBorder="true" applyAlignment="true">
      <alignment horizontal="left" vertical="top" indent="1"/>
    </xf>
    <xf numFmtId="303" fontId="28" fillId="3" borderId="32" xfId="4" applyFont="true" applyFill="true" applyBorder="true" applyAlignment="true">
      <alignment horizontal="left" vertical="top" wrapText="true" indent="1"/>
    </xf>
    <xf numFmtId="0" fontId="39" fillId="0" borderId="4" xfId="0" applyNumberFormat="true" applyFont="true" applyBorder="true" applyAlignment="true">
      <alignment horizontal="center"/>
    </xf>
    <xf numFmtId="0" fontId="40" fillId="0" borderId="50" xfId="0" applyNumberFormat="true" applyFont="true" applyAlignment="true">
      <alignment horizontal="center"/>
    </xf>
    <xf numFmtId="0" fontId="40" fillId="25" borderId="50" xfId="0" applyNumberFormat="true" applyFont="true" applyFill="true" applyAlignment="true">
      <alignment horizontal="center"/>
    </xf>
    <xf numFmtId="303" fontId="22" fillId="3" borderId="27" xfId="0" applyFont="true" applyFill="true" applyBorder="true"/>
    <xf numFmtId="303" fontId="21" fillId="11" borderId="50" xfId="4" applyFont="true" applyFill="true" applyAlignment="true">
      <alignment horizontal="left" vertical="top" indent="1"/>
    </xf>
    <xf numFmtId="303" fontId="23" fillId="13" borderId="47" xfId="4" applyFont="true" applyFill="true" applyBorder="true" applyAlignment="true">
      <alignment vertical="center"/>
    </xf>
    <xf numFmtId="303" fontId="21" fillId="3" borderId="41" xfId="4" applyFont="true" applyFill="true" applyBorder="true" applyAlignment="true">
      <alignment horizontal="left" vertical="top" indent="1"/>
    </xf>
    <xf numFmtId="303" fontId="21" fillId="3" borderId="48" xfId="4" applyFont="true" applyFill="true" applyBorder="true" applyAlignment="true">
      <alignment horizontal="left" vertical="top" indent="1"/>
    </xf>
    <xf numFmtId="303" fontId="21" fillId="3" borderId="49" xfId="4" applyFont="true" applyFill="true" applyBorder="true" applyAlignment="true">
      <alignment horizontal="left" vertical="top" indent="1"/>
    </xf>
    <xf numFmtId="303" fontId="40" fillId="0" borderId="42" xfId="0" applyFont="true" applyBorder="true" applyAlignment="true">
      <alignment horizontal="center"/>
    </xf>
    <xf numFmtId="303" fontId="35" fillId="11" borderId="50" xfId="0" applyNumberFormat="true" applyFill="true" applyBorder="true" applyProtection="true">
      <protection locked="false"/>
    </xf>
    <xf numFmtId="303" fontId="35" fillId="11" borderId="50" xfId="0" applyNumberFormat="true" applyFill="true" applyBorder="true" applyAlignment="true">
      <alignment horizontal="left" vertical="top"/>
    </xf>
    <xf numFmtId="303" fontId="35" fillId="11" borderId="50" xfId="0" applyNumberFormat="true" applyFill="true" applyBorder="true" applyAlignment="true">
      <alignment horizontal="center"/>
    </xf>
    <xf numFmtId="303" fontId="35" fillId="11" borderId="50" xfId="5" applyNumberFormat="true" applyFill="true" applyBorder="true" applyAlignment="true">
      <alignment horizontal="left" vertical="top"/>
    </xf>
  </cellXfs>
  <cellStyles>
    <cellStyle name="Normal" xfId="0" builtinId="0"/>
    <cellStyle name="Normal_template1 2 2" xfId="1"/>
    <cellStyle name="Normal 2" xfId="2"/>
    <cellStyle name="Normal_template1 2 3" xfId="3"/>
    <cellStyle name="Normal_template1 3" xfId="4"/>
    <cellStyle name="Normal 5" xfId="5"/>
    <cellStyle name="Normal 3" xfId="6"/>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4" Type="http://schemas.openxmlformats.org/officeDocument/2006/relationships/worksheet" Target="worksheets/sheet2.xml" /><Relationship Id="rId0"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5" Type="http://schemas.openxmlformats.org/officeDocument/2006/relationships/worksheet" Target="worksheets/sheet3.xml" /></Relationships>
</file>

<file path=xl/drawings/_rels/drawing1.xml.rels><?xml version="1.0" encoding="UTF-8" standalone="yes"?><Relationships xmlns="http://schemas.openxmlformats.org/package/2006/relationships"><Relationship Id="rId0" Type="http://schemas.openxmlformats.org/officeDocument/2006/relationships/image" Target="media/image1.gif" /></Relationships>
</file>

<file path=xl/drawings/_rels/drawing2.xml.rels><?xml version="1.0" encoding="UTF-8" standalone="yes"?><Relationships xmlns="http://schemas.openxmlformats.org/package/2006/relationships"><Relationship Id="rId0" Type="http://schemas.openxmlformats.org/officeDocument/2006/relationships/image" Target="media/image1.gif"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76200</xdr:colOff>
      <xdr:row>0</xdr:row>
      <xdr:rowOff>28575</xdr:rowOff>
    </xdr:from>
    <xdr:to>
      <xdr:col>0</xdr:col>
      <xdr:colOff>457200</xdr:colOff>
      <xdr:row>1</xdr:row>
      <xdr:rowOff>209550</xdr:rowOff>
    </xdr:to>
    <xdr:pic>
      <xdr:nvPicPr>
        <xdr:cNvPr id="1" name="Image 1" descr="http://www.orange.com/sirius/logos_mail/orange_logo.gif">
          <a:extLst>
            <a:ext uri="{FF2B5EF4-FFF2-40B4-BE49-F238E27FC236}"/>
          </a:extLst>
        </xdr:cNvPr>
        <xdr:cNvPicPr/>
      </xdr:nvPicPr>
      <xdr:blipFill>
        <a:blip r:embed="rId0">
          <a:extLst>
            <a:ext uri="{28A0092B-C50C-407E-A947-70E740481C1C}"/>
          </a:extLst>
        </a:blip>
        <a:srcRect/>
        <a:stretch>
          <a:fillRect/>
        </a:stretch>
      </xdr:blipFill>
      <xdr:spPr bwMode="auto">
        <a:xfrm>
          <a:off x="76200" y="28575"/>
          <a:ext cx="381000" cy="381000"/>
        </a:xfrm>
        <a:prstGeom prst="rect">
          <a:avLst/>
        </a:prstGeom>
        <a:noFill/>
        <a:ln>
          <a:noFill/>
        </a:ln>
      </xdr:spPr>
    </xdr:pic>
    <xdr:clientData/>
  </xdr:twoCellAnchor>
</xdr:wsDr>
</file>

<file path=xl/drawings/drawing2.xml><?xml version="1.0" encoding="utf-8"?>
<xdr:wsDr xmlns:a="http://schemas.openxmlformats.org/drawingml/2006/main" xmlns:r="http://schemas.openxmlformats.org/officeDocument/2006/relationships" xmlns:xdr="http://schemas.openxmlformats.org/drawingml/2006/spreadsheetDrawing">
  <xdr:twoCellAnchor editAs="oneCell">
    <xdr:from>
      <xdr:col>0</xdr:col>
      <xdr:colOff>47625</xdr:colOff>
      <xdr:row>0</xdr:row>
      <xdr:rowOff>28575</xdr:rowOff>
    </xdr:from>
    <xdr:to>
      <xdr:col>0</xdr:col>
      <xdr:colOff>476250</xdr:colOff>
      <xdr:row>1</xdr:row>
      <xdr:rowOff>304800</xdr:rowOff>
    </xdr:to>
    <xdr:pic>
      <xdr:nvPicPr>
        <xdr:cNvPr id="2" name="Image 1" descr="http://www.orange.com/sirius/logos_mail/orange_logo.gif">
          <a:extLst>
            <a:ext uri="{FF2B5EF4-FFF2-40B4-BE49-F238E27FC236}"/>
          </a:extLst>
        </xdr:cNvPr>
        <xdr:cNvPicPr/>
      </xdr:nvPicPr>
      <xdr:blipFill>
        <a:blip r:embed="rId0">
          <a:extLst>
            <a:ext uri="{28A0092B-C50C-407E-A947-70E740481C1C}"/>
          </a:extLst>
        </a:blip>
        <a:srcRect/>
        <a:stretch>
          <a:fillRect/>
        </a:stretch>
      </xdr:blipFill>
      <xdr:spPr bwMode="auto">
        <a:xfrm>
          <a:off x="47625" y="28575"/>
          <a:ext cx="428625" cy="4762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3.xml.rels><?xml version="1.0" encoding="UTF-8" standalone="yes"?><Relationships xmlns="http://schemas.openxmlformats.org/package/2006/relationships"><Relationship Id="rId0"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codeName="Feuil1"/>
  <dimension ref="AA282"/>
  <sheetViews>
    <sheetView showGridLines="true" tabSelected="false" zoomScaleNormal="100" workbookViewId="0">
      <pane xSplit="8" ySplit="2" topLeftCell="I3" state="frozen"/>
    </sheetView>
  </sheetViews>
  <sheetFormatPr defaultColWidth="11.4531" defaultRowHeight="14.5"/>
  <cols>
    <col min="1" max="1" width="7.72656" customWidth="true"/>
    <col min="2" max="2" width="28.9414" customWidth="true"/>
    <col min="3" max="3" width="18.3906" bestFit="true" customWidth="true"/>
    <col min="4" max="4" width="7.35938" customWidth="true"/>
    <col min="5" max="5" width="12.4297" customWidth="true"/>
    <col min="6" max="6" width="27.7227" style="210" customWidth="true"/>
    <col min="7" max="7" width="24.6523" style="210" customWidth="true"/>
    <col min="8" max="8" width="28.9414" style="210" customWidth="true"/>
    <col min="9" max="9" width="15.2422" style="210" customWidth="true"/>
    <col min="10" max="10" width="15.3711" style="210" customWidth="true"/>
    <col min="11" max="11" width="13.4844" style="210" customWidth="true"/>
    <col min="12" max="26" width="35.7266" style="210" customWidth="true"/>
    <col min="27" max="27" width="35.7266" style="210" hidden="true" customWidth="true"/>
  </cols>
  <sheetData>
    <row r="1" spans="1:27" ht="15" thickBot="true">
      <c r="A1" s="14" t="s"/>
      <c r="B1" s="15" t="s">
        <v>202</v>
      </c>
      <c r="C1" s="16" t="s"/>
      <c r="D1" s="17" t="s"/>
      <c r="E1" s="17" t="s"/>
      <c r="F1" s="18" t="s"/>
      <c r="G1" s="18" t="s"/>
      <c r="H1" s="18" t="s"/>
      <c r="I1" s="18" t="s"/>
      <c r="J1" s="18" t="s"/>
      <c r="K1" s="18" t="s"/>
      <c r="L1" s="18" t="s"/>
      <c r="M1" s="18" t="s"/>
      <c r="N1" s="18" t="s"/>
      <c r="O1" s="18" t="s"/>
      <c r="P1" s="18" t="s"/>
      <c r="Q1" s="18" t="s"/>
      <c r="R1" s="18" t="s"/>
      <c r="S1" s="18" t="s"/>
      <c r="T1" s="18" t="s"/>
      <c r="U1" s="18" t="s"/>
      <c r="V1" s="18" t="s"/>
      <c r="W1" s="18" t="s"/>
      <c r="X1" s="18" t="s"/>
      <c r="Y1" s="18" t="s"/>
      <c r="Z1" s="18" t="s"/>
      <c r="AA1" s="18" t="s"/>
    </row>
    <row r="2" spans="1:27" ht="73.5" customHeight="true" thickBot="true">
      <c r="A2" s="19" t="s"/>
      <c r="B2" s="20" t="s">
        <v>203</v>
      </c>
      <c r="C2" s="16" t="s"/>
      <c r="D2" s="21" t="s">
        <v>204</v>
      </c>
      <c r="E2" s="22" t="s">
        <v>205</v>
      </c>
      <c r="F2" s="23" t="s">
        <v>206</v>
      </c>
      <c r="G2" s="23" t="s">
        <v>207</v>
      </c>
      <c r="H2" s="24" t="s">
        <v>208</v>
      </c>
      <c r="I2" s="25" t="s">
        <v>209</v>
      </c>
      <c r="J2" s="26" t="s">
        <v>210</v>
      </c>
      <c r="K2" s="26" t="s">
        <v>211</v>
      </c>
      <c r="L2" s="23" t="s"/>
      <c r="M2" s="23" t="s"/>
      <c r="N2" s="23" t="s"/>
      <c r="O2" s="23" t="s"/>
      <c r="P2" s="23" t="s"/>
      <c r="Q2" s="23" t="s"/>
      <c r="R2" s="23" t="s"/>
      <c r="S2" s="23" t="s"/>
      <c r="T2" s="23" t="s"/>
      <c r="U2" s="23" t="s"/>
      <c r="V2" s="23" t="s"/>
      <c r="W2" s="23" t="s"/>
      <c r="X2" s="23" t="s"/>
      <c r="Y2" s="23" t="s"/>
      <c r="Z2" s="23" t="s"/>
      <c r="AA2" s="23" t="s"/>
    </row>
    <row r="3" spans="1:27" ht="25" customHeight="true">
      <c r="A3" s="27" t="s"/>
      <c r="B3" s="28" t="s">
        <v>212</v>
      </c>
      <c r="C3" s="16" t="s"/>
      <c r="D3" s="17" t="s"/>
      <c r="E3" s="17" t="s"/>
      <c r="F3" s="29" t="s"/>
      <c r="G3" s="29" t="s"/>
      <c r="H3" s="29" t="s"/>
      <c r="I3" s="29" t="s"/>
      <c r="J3" s="29" t="s"/>
      <c r="K3" s="29" t="s"/>
      <c r="L3" s="29" t="s"/>
      <c r="M3" s="29" t="s"/>
      <c r="N3" s="29" t="s"/>
      <c r="O3" s="29" t="s"/>
      <c r="P3" s="29" t="s"/>
      <c r="Q3" s="29" t="s"/>
      <c r="R3" s="29" t="s"/>
      <c r="S3" s="29" t="s"/>
      <c r="T3" s="29" t="s"/>
      <c r="U3" s="29" t="s"/>
      <c r="V3" s="29" t="s"/>
      <c r="W3" s="29" t="s"/>
      <c r="X3" s="29" t="s"/>
      <c r="Y3" s="29" t="s"/>
      <c r="Z3" s="29" t="s"/>
      <c r="AA3" s="29" t="s"/>
    </row>
    <row r="4" spans="1:27" ht="20">
      <c r="A4" s="30" t="s"/>
      <c r="B4" s="31" t="s">
        <v>213</v>
      </c>
      <c r="C4" s="32" t="s"/>
      <c r="D4" s="17" t="s"/>
      <c r="E4" s="17" t="s"/>
      <c r="F4" s="33" t="s"/>
      <c r="G4" s="33" t="s"/>
      <c r="H4" s="33" t="s"/>
      <c r="I4" s="33" t="s"/>
      <c r="J4" s="33" t="s"/>
      <c r="K4" s="33" t="s"/>
      <c r="L4" s="33" t="s"/>
      <c r="M4" s="33" t="s"/>
      <c r="N4" s="33" t="s"/>
      <c r="O4" s="33" t="s"/>
      <c r="P4" s="33" t="s"/>
      <c r="Q4" s="33" t="s"/>
      <c r="R4" s="33" t="s"/>
      <c r="S4" s="33" t="s"/>
      <c r="T4" s="33" t="s"/>
      <c r="U4" s="33" t="s"/>
      <c r="V4" s="33" t="s"/>
      <c r="W4" s="33" t="s"/>
      <c r="X4" s="33" t="s"/>
      <c r="Y4" s="33" t="s"/>
      <c r="Z4" s="33" t="s"/>
      <c r="AA4" s="33" t="s"/>
    </row>
    <row r="5" spans="1:27" ht="15" thickBot="true">
      <c r="A5" s="34" t="s">
        <v>214</v>
      </c>
      <c r="B5" s="35" t="s"/>
      <c r="C5" s="36" t="s"/>
      <c r="D5" s="37" t="s"/>
      <c r="E5" s="17" t="s"/>
      <c r="F5" s="38" t="s"/>
      <c r="G5" s="38" t="s"/>
      <c r="H5" s="38" t="s"/>
      <c r="I5" s="38" t="s"/>
      <c r="J5" s="38" t="s"/>
      <c r="K5" s="38" t="s"/>
      <c r="L5" s="38" t="s"/>
      <c r="M5" s="38" t="s"/>
      <c r="N5" s="38" t="s"/>
      <c r="O5" s="38" t="s"/>
      <c r="P5" s="38" t="s"/>
      <c r="Q5" s="38" t="s"/>
      <c r="R5" s="38" t="s"/>
      <c r="S5" s="38" t="s"/>
      <c r="T5" s="38" t="s"/>
      <c r="U5" s="38" t="s"/>
      <c r="V5" s="38" t="s"/>
      <c r="W5" s="38" t="s"/>
      <c r="X5" s="38" t="s"/>
      <c r="Y5" s="38" t="s"/>
      <c r="Z5" s="38" t="s"/>
      <c r="AA5" s="38" t="s"/>
    </row>
    <row r="6" spans="1:27" ht="15" thickBot="true">
      <c r="A6" s="39" t="s">
        <v>215</v>
      </c>
      <c r="B6" s="40" t="s"/>
      <c r="C6" s="41" t="s"/>
      <c r="D6" s="37" t="s">
        <v>216</v>
      </c>
      <c r="E6" s="37" t="s">
        <v>217</v>
      </c>
      <c r="F6" s="42" t="s">
        <v>218</v>
      </c>
      <c r="G6" s="42" t="s">
        <v>218</v>
      </c>
      <c r="H6" s="42" t="s">
        <v>218</v>
      </c>
      <c r="I6" s="43" t="s"/>
      <c r="J6" s="44" t="s">
        <v>219</v>
      </c>
      <c r="K6" s="44" t="s">
        <v>219</v>
      </c>
      <c r="L6" s="43" t="s"/>
      <c r="M6" s="43" t="s"/>
      <c r="N6" s="43" t="s"/>
      <c r="O6" s="43" t="s"/>
      <c r="P6" s="43" t="s"/>
      <c r="Q6" s="43" t="s"/>
      <c r="R6" s="43" t="s"/>
      <c r="S6" s="43" t="s"/>
      <c r="T6" s="43" t="s"/>
      <c r="U6" s="43" t="s"/>
      <c r="V6" s="43" t="s"/>
      <c r="W6" s="43" t="s"/>
      <c r="X6" s="43" t="s"/>
      <c r="Y6" s="43" t="s"/>
      <c r="Z6" s="43" t="s"/>
      <c r="AA6" s="43" t="s"/>
    </row>
    <row r="7" spans="1:27" ht="15" thickBot="true">
      <c r="A7" s="39" t="s">
        <v>220</v>
      </c>
      <c r="B7" s="40" t="s"/>
      <c r="C7" s="41" t="s"/>
      <c r="D7" s="37" t="s">
        <v>216</v>
      </c>
      <c r="E7" s="37" t="s">
        <v>217</v>
      </c>
      <c r="F7" s="45" t="s">
        <v>203</v>
      </c>
      <c r="G7" s="45" t="s">
        <v>203</v>
      </c>
      <c r="H7" s="45" t="s">
        <v>203</v>
      </c>
      <c r="I7" s="45" t="s"/>
      <c r="J7" s="44" t="s">
        <v>219</v>
      </c>
      <c r="K7" s="44" t="s">
        <v>219</v>
      </c>
      <c r="L7" s="45" t="s"/>
      <c r="M7" s="45" t="s"/>
      <c r="N7" s="45" t="s"/>
      <c r="O7" s="45" t="s"/>
      <c r="P7" s="45" t="s"/>
      <c r="Q7" s="45" t="s"/>
      <c r="R7" s="45" t="s"/>
      <c r="S7" s="45" t="s"/>
      <c r="T7" s="45" t="s"/>
      <c r="U7" s="45" t="s"/>
      <c r="V7" s="45" t="s"/>
      <c r="W7" s="45" t="s"/>
      <c r="X7" s="45" t="s"/>
      <c r="Y7" s="45" t="s"/>
      <c r="Z7" s="45" t="s"/>
      <c r="AA7" s="45" t="s"/>
    </row>
    <row r="8" spans="1:27">
      <c r="A8" s="46" t="s">
        <v>221</v>
      </c>
      <c r="B8" s="47" t="s"/>
      <c r="C8" s="41" t="s"/>
      <c r="D8" s="37" t="s">
        <v>222</v>
      </c>
      <c r="E8" s="48" t="s">
        <v>223</v>
      </c>
      <c r="F8" s="44" t="s">
        <v>224</v>
      </c>
      <c r="G8" s="44" t="s">
        <v>224</v>
      </c>
      <c r="H8" s="44" t="s">
        <v>224</v>
      </c>
      <c r="I8" s="44" t="s">
        <v>225</v>
      </c>
      <c r="J8" s="44" t="s"/>
      <c r="K8" s="44" t="s"/>
      <c r="L8" s="44" t="s"/>
      <c r="M8" s="44" t="s"/>
      <c r="N8" s="44" t="s"/>
      <c r="O8" s="44" t="s"/>
      <c r="P8" s="44" t="s"/>
      <c r="Q8" s="44" t="s"/>
      <c r="R8" s="44" t="s"/>
      <c r="S8" s="44" t="s"/>
      <c r="T8" s="44" t="s"/>
      <c r="U8" s="44" t="s"/>
      <c r="V8" s="44" t="s"/>
      <c r="W8" s="44" t="s"/>
      <c r="X8" s="44" t="s"/>
      <c r="Y8" s="44" t="s"/>
      <c r="Z8" s="44" t="s"/>
      <c r="AA8" s="44" t="s"/>
    </row>
    <row r="9" spans="1:27">
      <c r="A9" s="49" t="s">
        <v>226</v>
      </c>
      <c r="B9" s="50" t="s"/>
      <c r="C9" s="41" t="s"/>
      <c r="D9" s="17" t="s"/>
      <c r="E9" s="17" t="s"/>
      <c r="F9" s="51" t="s">
        <v>203</v>
      </c>
      <c r="G9" s="51" t="s">
        <v>203</v>
      </c>
      <c r="H9" s="51" t="s">
        <v>203</v>
      </c>
      <c r="I9" s="51" t="s"/>
      <c r="J9" s="44" t="s">
        <v>219</v>
      </c>
      <c r="K9" s="44" t="s">
        <v>219</v>
      </c>
      <c r="L9" s="51" t="s"/>
      <c r="M9" s="51" t="s"/>
      <c r="N9" s="51" t="s"/>
      <c r="O9" s="51" t="s"/>
      <c r="P9" s="51" t="s"/>
      <c r="Q9" s="51" t="s"/>
      <c r="R9" s="51" t="s"/>
      <c r="S9" s="51" t="s"/>
      <c r="T9" s="51" t="s"/>
      <c r="U9" s="51" t="s"/>
      <c r="V9" s="51" t="s"/>
      <c r="W9" s="51" t="s"/>
      <c r="X9" s="51" t="s"/>
      <c r="Y9" s="51" t="s"/>
      <c r="Z9" s="51" t="s"/>
      <c r="AA9" s="51" t="s"/>
    </row>
    <row r="10" spans="1:27">
      <c r="A10" s="52" t="s">
        <v>227</v>
      </c>
      <c r="B10" s="16" t="s"/>
      <c r="C10" s="41" t="s"/>
      <c r="D10" s="17" t="s"/>
      <c r="E10" s="17" t="s"/>
      <c r="F10" s="53" t="s"/>
      <c r="G10" s="53" t="s"/>
      <c r="H10" s="53" t="s"/>
      <c r="I10" s="53" t="s"/>
      <c r="J10" s="44" t="s"/>
      <c r="K10" s="44" t="s"/>
      <c r="L10" s="53" t="s"/>
      <c r="M10" s="53" t="s"/>
      <c r="N10" s="53" t="s"/>
      <c r="O10" s="53" t="s"/>
      <c r="P10" s="53" t="s"/>
      <c r="Q10" s="53" t="s"/>
      <c r="R10" s="53" t="s"/>
      <c r="S10" s="53" t="s"/>
      <c r="T10" s="53" t="s"/>
      <c r="U10" s="53" t="s"/>
      <c r="V10" s="53" t="s"/>
      <c r="W10" s="53" t="s"/>
      <c r="X10" s="53" t="s"/>
      <c r="Y10" s="53" t="s"/>
      <c r="Z10" s="53" t="s"/>
      <c r="AA10" s="53" t="s"/>
    </row>
    <row r="11" spans="1:27">
      <c r="A11" s="52" t="s">
        <v>228</v>
      </c>
      <c r="B11" s="16" t="s"/>
      <c r="C11" s="41" t="s"/>
      <c r="D11" s="17" t="s"/>
      <c r="E11" s="17" t="s"/>
      <c r="F11" s="53" t="s"/>
      <c r="G11" s="53" t="s"/>
      <c r="H11" s="53" t="s"/>
      <c r="I11" s="53" t="s"/>
      <c r="J11" s="44" t="s"/>
      <c r="K11" s="44" t="s"/>
      <c r="L11" s="53" t="s"/>
      <c r="M11" s="53" t="s"/>
      <c r="N11" s="53" t="s"/>
      <c r="O11" s="53" t="s"/>
      <c r="P11" s="53" t="s"/>
      <c r="Q11" s="53" t="s"/>
      <c r="R11" s="53" t="s"/>
      <c r="S11" s="53" t="s"/>
      <c r="T11" s="53" t="s"/>
      <c r="U11" s="53" t="s"/>
      <c r="V11" s="53" t="s"/>
      <c r="W11" s="53" t="s"/>
      <c r="X11" s="53" t="s"/>
      <c r="Y11" s="53" t="s"/>
      <c r="Z11" s="53" t="s"/>
      <c r="AA11" s="53" t="s"/>
    </row>
    <row r="12" spans="1:27">
      <c r="A12" s="52" t="s">
        <v>229</v>
      </c>
      <c r="B12" s="16" t="s"/>
      <c r="C12" s="41" t="s"/>
      <c r="D12" s="17" t="s"/>
      <c r="E12" s="17" t="s"/>
      <c r="F12" s="53" t="s"/>
      <c r="G12" s="53" t="s"/>
      <c r="H12" s="53" t="s"/>
      <c r="I12" s="53" t="s"/>
      <c r="J12" s="44" t="s"/>
      <c r="K12" s="44" t="s"/>
      <c r="L12" s="53" t="s"/>
      <c r="M12" s="53" t="s"/>
      <c r="N12" s="53" t="s"/>
      <c r="O12" s="53" t="s"/>
      <c r="P12" s="53" t="s"/>
      <c r="Q12" s="53" t="s"/>
      <c r="R12" s="53" t="s"/>
      <c r="S12" s="53" t="s"/>
      <c r="T12" s="53" t="s"/>
      <c r="U12" s="53" t="s"/>
      <c r="V12" s="53" t="s"/>
      <c r="W12" s="53" t="s"/>
      <c r="X12" s="53" t="s"/>
      <c r="Y12" s="53" t="s"/>
      <c r="Z12" s="53" t="s"/>
      <c r="AA12" s="53" t="s"/>
    </row>
    <row r="13" spans="1:27">
      <c r="A13" s="52" t="s">
        <v>230</v>
      </c>
      <c r="B13" s="16" t="s"/>
      <c r="C13" s="41" t="s"/>
      <c r="D13" s="17" t="s"/>
      <c r="E13" s="17" t="s"/>
      <c r="F13" s="53" t="s"/>
      <c r="G13" s="53" t="s"/>
      <c r="H13" s="53" t="s"/>
      <c r="I13" s="53" t="s"/>
      <c r="J13" s="44" t="s"/>
      <c r="K13" s="44" t="s"/>
      <c r="L13" s="53" t="s"/>
      <c r="M13" s="53" t="s"/>
      <c r="N13" s="53" t="s"/>
      <c r="O13" s="53" t="s"/>
      <c r="P13" s="53" t="s"/>
      <c r="Q13" s="53" t="s"/>
      <c r="R13" s="53" t="s"/>
      <c r="S13" s="53" t="s"/>
      <c r="T13" s="53" t="s"/>
      <c r="U13" s="53" t="s"/>
      <c r="V13" s="53" t="s"/>
      <c r="W13" s="53" t="s"/>
      <c r="X13" s="53" t="s"/>
      <c r="Y13" s="53" t="s"/>
      <c r="Z13" s="53" t="s"/>
      <c r="AA13" s="53" t="s"/>
    </row>
    <row r="14" spans="1:27">
      <c r="A14" s="52" t="s">
        <v>231</v>
      </c>
      <c r="B14" s="16" t="s"/>
      <c r="C14" s="54" t="s"/>
      <c r="D14" s="55" t="s"/>
      <c r="E14" s="55" t="s"/>
      <c r="F14" s="53" t="s"/>
      <c r="G14" s="53" t="s"/>
      <c r="H14" s="53" t="s"/>
      <c r="I14" s="53" t="s"/>
      <c r="J14" s="44" t="s"/>
      <c r="K14" s="44" t="s"/>
      <c r="L14" s="53" t="s"/>
      <c r="M14" s="53" t="s"/>
      <c r="N14" s="53" t="s"/>
      <c r="O14" s="53" t="s"/>
      <c r="P14" s="53" t="s"/>
      <c r="Q14" s="53" t="s"/>
      <c r="R14" s="53" t="s"/>
      <c r="S14" s="53" t="s"/>
      <c r="T14" s="53" t="s"/>
      <c r="U14" s="53" t="s"/>
      <c r="V14" s="53" t="s"/>
      <c r="W14" s="53" t="s"/>
      <c r="X14" s="53" t="s"/>
      <c r="Y14" s="53" t="s"/>
      <c r="Z14" s="53" t="s"/>
      <c r="AA14" s="53" t="s"/>
    </row>
    <row r="15" spans="1:27">
      <c r="A15" s="52" t="s">
        <v>232</v>
      </c>
      <c r="B15" s="16" t="s"/>
      <c r="C15" s="54" t="s"/>
      <c r="D15" s="56" t="s"/>
      <c r="E15" s="56" t="s"/>
      <c r="F15" s="53" t="s"/>
      <c r="G15" s="53" t="s"/>
      <c r="H15" s="53" t="s"/>
      <c r="I15" s="53" t="s"/>
      <c r="J15" s="44" t="s"/>
      <c r="K15" s="44" t="s"/>
      <c r="L15" s="53" t="s"/>
      <c r="M15" s="53" t="s"/>
      <c r="N15" s="53" t="s"/>
      <c r="O15" s="53" t="s"/>
      <c r="P15" s="53" t="s"/>
      <c r="Q15" s="53" t="s"/>
      <c r="R15" s="53" t="s"/>
      <c r="S15" s="53" t="s"/>
      <c r="T15" s="53" t="s"/>
      <c r="U15" s="53" t="s"/>
      <c r="V15" s="53" t="s"/>
      <c r="W15" s="53" t="s"/>
      <c r="X15" s="53" t="s"/>
      <c r="Y15" s="53" t="s"/>
      <c r="Z15" s="53" t="s"/>
      <c r="AA15" s="53" t="s"/>
    </row>
    <row r="16" spans="1:27">
      <c r="A16" s="52" t="s">
        <v>233</v>
      </c>
      <c r="B16" s="16" t="s"/>
      <c r="C16" s="54" t="s"/>
      <c r="D16" s="55" t="s"/>
      <c r="E16" s="55" t="s"/>
      <c r="F16" s="53" t="s"/>
      <c r="G16" s="53" t="s"/>
      <c r="H16" s="53" t="s"/>
      <c r="I16" s="53" t="s"/>
      <c r="J16" s="44" t="s"/>
      <c r="K16" s="44" t="s"/>
      <c r="L16" s="53" t="s"/>
      <c r="M16" s="53" t="s"/>
      <c r="N16" s="53" t="s"/>
      <c r="O16" s="53" t="s"/>
      <c r="P16" s="53" t="s"/>
      <c r="Q16" s="53" t="s"/>
      <c r="R16" s="53" t="s"/>
      <c r="S16" s="53" t="s"/>
      <c r="T16" s="53" t="s"/>
      <c r="U16" s="53" t="s"/>
      <c r="V16" s="53" t="s"/>
      <c r="W16" s="53" t="s"/>
      <c r="X16" s="53" t="s"/>
      <c r="Y16" s="53" t="s"/>
      <c r="Z16" s="53" t="s"/>
      <c r="AA16" s="53" t="s"/>
    </row>
    <row r="17" spans="1:27">
      <c r="A17" s="52" t="s">
        <v>234</v>
      </c>
      <c r="B17" s="16" t="s"/>
      <c r="C17" s="41" t="s"/>
      <c r="D17" s="17" t="s"/>
      <c r="E17" s="17" t="s"/>
      <c r="F17" s="57" t="s"/>
      <c r="G17" s="57" t="s"/>
      <c r="H17" s="57" t="s"/>
      <c r="I17" s="57" t="s"/>
      <c r="J17" s="44" t="s"/>
      <c r="K17" s="44" t="s"/>
      <c r="L17" s="57" t="s"/>
      <c r="M17" s="57" t="s"/>
      <c r="N17" s="57" t="s"/>
      <c r="O17" s="57" t="s"/>
      <c r="P17" s="57" t="s"/>
      <c r="Q17" s="57" t="s"/>
      <c r="R17" s="57" t="s"/>
      <c r="S17" s="57" t="s"/>
      <c r="T17" s="57" t="s"/>
      <c r="U17" s="57" t="s"/>
      <c r="V17" s="57" t="s"/>
      <c r="W17" s="57" t="s"/>
      <c r="X17" s="57" t="s"/>
      <c r="Y17" s="57" t="s"/>
      <c r="Z17" s="57" t="s"/>
      <c r="AA17" s="57" t="s"/>
    </row>
    <row r="18" spans="1:27">
      <c r="A18" s="52" t="s">
        <v>235</v>
      </c>
      <c r="B18" s="16" t="s"/>
      <c r="C18" s="41" t="s"/>
      <c r="D18" s="17" t="s"/>
      <c r="E18" s="17" t="s"/>
      <c r="F18" s="58" t="s"/>
      <c r="G18" s="58" t="s"/>
      <c r="H18" s="58" t="s"/>
      <c r="I18" s="58" t="s"/>
      <c r="J18" s="44" t="s"/>
      <c r="K18" s="44" t="s"/>
      <c r="L18" s="58" t="s"/>
      <c r="M18" s="58" t="s"/>
      <c r="N18" s="58" t="s"/>
      <c r="O18" s="58" t="s"/>
      <c r="P18" s="58" t="s"/>
      <c r="Q18" s="58" t="s"/>
      <c r="R18" s="58" t="s"/>
      <c r="S18" s="58" t="s"/>
      <c r="T18" s="58" t="s"/>
      <c r="U18" s="58" t="s"/>
      <c r="V18" s="58" t="s"/>
      <c r="W18" s="58" t="s"/>
      <c r="X18" s="58" t="s"/>
      <c r="Y18" s="58" t="s"/>
      <c r="Z18" s="58" t="s"/>
      <c r="AA18" s="58" t="s"/>
    </row>
    <row r="19" spans="1:27">
      <c r="A19" s="52" t="s">
        <v>236</v>
      </c>
      <c r="B19" s="16" t="s"/>
      <c r="C19" s="41" t="s"/>
      <c r="D19" s="17" t="s"/>
      <c r="E19" s="17" t="s"/>
      <c r="F19" s="44" t="s"/>
      <c r="G19" s="44" t="s"/>
      <c r="H19" s="44" t="s"/>
      <c r="I19" s="44" t="s"/>
      <c r="J19" s="44" t="s"/>
      <c r="K19" s="44" t="s"/>
      <c r="L19" s="44" t="s"/>
      <c r="M19" s="44" t="s"/>
      <c r="N19" s="44" t="s"/>
      <c r="O19" s="44" t="s"/>
      <c r="P19" s="44" t="s"/>
      <c r="Q19" s="44" t="s"/>
      <c r="R19" s="44" t="s"/>
      <c r="S19" s="44" t="s"/>
      <c r="T19" s="44" t="s"/>
      <c r="U19" s="44" t="s"/>
      <c r="V19" s="44" t="s"/>
      <c r="W19" s="44" t="s"/>
      <c r="X19" s="44" t="s"/>
      <c r="Y19" s="44" t="s"/>
      <c r="Z19" s="44" t="s"/>
      <c r="AA19" s="44" t="s"/>
    </row>
    <row r="20" spans="1:27" ht="15" thickBot="true">
      <c r="A20" s="59" t="s">
        <v>237</v>
      </c>
      <c r="B20" s="60" t="s"/>
      <c r="C20" s="61" t="s"/>
      <c r="D20" s="17" t="s"/>
      <c r="E20" s="17" t="s"/>
      <c r="F20" s="62" t="s"/>
      <c r="G20" s="62" t="s"/>
      <c r="H20" s="62" t="s"/>
      <c r="I20" s="62" t="s"/>
      <c r="J20" s="44" t="s"/>
      <c r="K20" s="44" t="s"/>
      <c r="L20" s="62" t="s"/>
      <c r="M20" s="62" t="s"/>
      <c r="N20" s="62" t="s"/>
      <c r="O20" s="62" t="s"/>
      <c r="P20" s="62" t="s"/>
      <c r="Q20" s="62" t="s"/>
      <c r="R20" s="62" t="s"/>
      <c r="S20" s="62" t="s"/>
      <c r="T20" s="62" t="s"/>
      <c r="U20" s="62" t="s"/>
      <c r="V20" s="62" t="s"/>
      <c r="W20" s="62" t="s"/>
      <c r="X20" s="62" t="s"/>
      <c r="Y20" s="62" t="s"/>
      <c r="Z20" s="62" t="s"/>
      <c r="AA20" s="62" t="s"/>
    </row>
    <row r="21" spans="1:27" ht="15" thickBot="true">
      <c r="A21" s="39" t="s">
        <v>238</v>
      </c>
      <c r="B21" s="40" t="s"/>
      <c r="C21" s="41" t="s"/>
      <c r="D21" s="37" t="s">
        <v>216</v>
      </c>
      <c r="E21" s="37" t="s">
        <v>217</v>
      </c>
      <c r="F21" s="45" t="s">
        <v>239</v>
      </c>
      <c r="G21" s="45" t="s">
        <v>240</v>
      </c>
      <c r="H21" s="45" t="s">
        <v>241</v>
      </c>
      <c r="I21" s="45" t="s"/>
      <c r="J21" s="44" t="s">
        <v>219</v>
      </c>
      <c r="K21" s="44" t="s">
        <v>219</v>
      </c>
      <c r="L21" s="45" t="s"/>
      <c r="M21" s="45" t="s"/>
      <c r="N21" s="45" t="s"/>
      <c r="O21" s="45" t="s"/>
      <c r="P21" s="45" t="s"/>
      <c r="Q21" s="45" t="s"/>
      <c r="R21" s="45" t="s"/>
      <c r="S21" s="45" t="s"/>
      <c r="T21" s="45" t="s"/>
      <c r="U21" s="45" t="s"/>
      <c r="V21" s="45" t="s"/>
      <c r="W21" s="45" t="s"/>
      <c r="X21" s="45" t="s"/>
      <c r="Y21" s="45" t="s"/>
      <c r="Z21" s="45" t="s"/>
      <c r="AA21" s="45" t="s"/>
    </row>
    <row r="22" spans="1:27">
      <c r="A22" s="52" t="s">
        <v>242</v>
      </c>
      <c r="B22" s="16" t="s"/>
      <c r="C22" s="63" t="s">
        <v>243</v>
      </c>
      <c r="D22" s="17" t="s"/>
      <c r="E22" s="17" t="s"/>
      <c r="F22" s="64" t="s">
        <f>=TRIM(SUBSTITUTE(SUBSTITUTE(SUBSTITUTE(F21,"5G",""),"4G",""),"WiFi",""))&amp;(IF(AND(F60&lt;&gt;"",F60&lt;&gt;"No")," 5G",IF(AND(F48="Yes",OR(F60="",F60="No"))," 4G",IF(COUNTA(F134:F145)&gt;0," WiFi","")))&amp;" "&amp;IF(ISBLANK(F182),F187,IF((LEN(F187&amp;F182)-LEN(SUBSTITUTE(F187&amp;F182,"GB","")))/LEN("GB")&gt;1,SUBSTITUTE(F187,"GB","")&amp;"-"&amp;F182,IF((LEN(F187&amp;F182)-LEN(SUBSTITUTE(F187&amp;F182,"MB","")))/LEN("MB")&gt;1,SUBSTITUTE(F187,"MB","")&amp;"-"&amp;F182,IF((LEN(F187&amp;F182)-LEN(SUBSTITUTE(F187&amp;F182,"TB","")))/LEN("GB")&gt;1,SUBSTITUTE(F187,"TB","")&amp;"-"&amp;F182,F187&amp;"-"&amp;F182)))))</f>
        <v>244</v>
      </c>
      <c r="G22" s="64" t="s">
        <f>=TRIM(SUBSTITUTE(SUBSTITUTE(SUBSTITUTE(G21,"5G",""),"4G",""),"WiFi",""))&amp;(IF(AND(G60&lt;&gt;"",G60&lt;&gt;"No")," 5G",IF(AND(G48="Yes",OR(G60="",G60="No"))," 4G",IF(COUNTA(G134:G145)&gt;0," WiFi","")))&amp;" "&amp;IF(ISBLANK(G182),G187,IF((LEN(G187&amp;G182)-LEN(SUBSTITUTE(G187&amp;G182,"GB","")))/LEN("GB")&gt;1,SUBSTITUTE(G187,"GB","")&amp;"-"&amp;G182,IF((LEN(G187&amp;G182)-LEN(SUBSTITUTE(G187&amp;G182,"MB","")))/LEN("MB")&gt;1,SUBSTITUTE(G187,"MB","")&amp;"-"&amp;G182,IF((LEN(G187&amp;G182)-LEN(SUBSTITUTE(G187&amp;G182,"TB","")))/LEN("GB")&gt;1,SUBSTITUTE(G187,"TB","")&amp;"-"&amp;G182,G187&amp;"-"&amp;G182)))))</f>
        <v>245</v>
      </c>
      <c r="H22" s="64" t="s">
        <f>=TRIM(SUBSTITUTE(SUBSTITUTE(SUBSTITUTE(H21,"5G",""),"4G",""),"WiFi",""))&amp;(IF(AND(H60&lt;&gt;"",H60&lt;&gt;"No")," 5G",IF(AND(H48="Yes",OR(H60="",H60="No"))," 4G",IF(COUNTA(H134:H145)&gt;0," WiFi","")))&amp;" "&amp;IF(ISBLANK(H182),H187,IF((LEN(H187&amp;H182)-LEN(SUBSTITUTE(H187&amp;H182,"GB","")))/LEN("GB")&gt;1,SUBSTITUTE(H187,"GB","")&amp;"-"&amp;H182,IF((LEN(H187&amp;H182)-LEN(SUBSTITUTE(H187&amp;H182,"MB","")))/LEN("MB")&gt;1,SUBSTITUTE(H187,"MB","")&amp;"-"&amp;H182,IF((LEN(H187&amp;H182)-LEN(SUBSTITUTE(H187&amp;H182,"TB","")))/LEN("GB")&gt;1,SUBSTITUTE(H187,"TB","")&amp;"-"&amp;H182,H187&amp;"-"&amp;H182)))))</f>
        <v>246</v>
      </c>
      <c r="I22" s="64" t="s"/>
      <c r="J22" s="44" t="s"/>
      <c r="K22" s="44" t="s"/>
      <c r="L22" s="64" t="s">
        <f>=TRIM(SUBSTITUTE(SUBSTITUTE(SUBSTITUTE(L21,"5G",""),"4G",""),"WiFi",""))&amp;(IF(AND(L60&lt;&gt;"",L60&lt;&gt;"No")," 5G",IF(AND(L48="Yes",OR(L60="",L60="No"))," 4G",IF(COUNTA(L134:L145)&gt;0," WiFi","")))&amp;" "&amp;IF(ISBLANK(L182),L187,IF((LEN(L187&amp;L182)-LEN(SUBSTITUTE(L187&amp;L182,"GB","")))/LEN("GB")&gt;1,SUBSTITUTE(L187,"GB","")&amp;"-"&amp;L182,IF((LEN(L187&amp;L182)-LEN(SUBSTITUTE(L187&amp;L182,"MB","")))/LEN("MB")&gt;1,SUBSTITUTE(L187,"MB","")&amp;"-"&amp;L182,IF((LEN(L187&amp;L182)-LEN(SUBSTITUTE(L187&amp;L182,"TB","")))/LEN("GB")&gt;1,SUBSTITUTE(L187,"TB","")&amp;"-"&amp;L182,L187&amp;"-"&amp;L182)))))</f>
        <v>247</v>
      </c>
      <c r="M22" s="64" t="s">
        <f>=TRIM(SUBSTITUTE(SUBSTITUTE(SUBSTITUTE(M21,"5G",""),"4G",""),"WiFi",""))&amp;(IF(AND(M60&lt;&gt;"",M60&lt;&gt;"No")," 5G",IF(AND(M48="Yes",OR(M60="",M60="No"))," 4G",IF(COUNTA(M134:M145)&gt;0," WiFi","")))&amp;" "&amp;IF(ISBLANK(M182),M187,IF((LEN(M187&amp;M182)-LEN(SUBSTITUTE(M187&amp;M182,"GB","")))/LEN("GB")&gt;1,SUBSTITUTE(M187,"GB","")&amp;"-"&amp;M182,IF((LEN(M187&amp;M182)-LEN(SUBSTITUTE(M187&amp;M182,"MB","")))/LEN("MB")&gt;1,SUBSTITUTE(M187,"MB","")&amp;"-"&amp;M182,IF((LEN(M187&amp;M182)-LEN(SUBSTITUTE(M187&amp;M182,"TB","")))/LEN("GB")&gt;1,SUBSTITUTE(M187,"TB","")&amp;"-"&amp;M182,M187&amp;"-"&amp;M182)))))</f>
        <v>247</v>
      </c>
      <c r="N22" s="64" t="s">
        <f>=TRIM(SUBSTITUTE(SUBSTITUTE(SUBSTITUTE(N21,"5G",""),"4G",""),"WiFi",""))&amp;(IF(AND(N60&lt;&gt;"",N60&lt;&gt;"No")," 5G",IF(AND(N48="Yes",OR(N60="",N60="No"))," 4G",IF(COUNTA(N134:N145)&gt;0," WiFi","")))&amp;" "&amp;IF(ISBLANK(N182),N187,IF((LEN(N187&amp;N182)-LEN(SUBSTITUTE(N187&amp;N182,"GB","")))/LEN("GB")&gt;1,SUBSTITUTE(N187,"GB","")&amp;"-"&amp;N182,IF((LEN(N187&amp;N182)-LEN(SUBSTITUTE(N187&amp;N182,"MB","")))/LEN("MB")&gt;1,SUBSTITUTE(N187,"MB","")&amp;"-"&amp;N182,IF((LEN(N187&amp;N182)-LEN(SUBSTITUTE(N187&amp;N182,"TB","")))/LEN("GB")&gt;1,SUBSTITUTE(N187,"TB","")&amp;"-"&amp;N182,N187&amp;"-"&amp;N182)))))</f>
        <v>247</v>
      </c>
      <c r="O22" s="64" t="s">
        <f>=TRIM(SUBSTITUTE(SUBSTITUTE(SUBSTITUTE(O21,"5G",""),"4G",""),"WiFi",""))&amp;(IF(AND(O60&lt;&gt;"",O60&lt;&gt;"No")," 5G",IF(AND(O48="Yes",OR(O60="",O60="No"))," 4G",IF(COUNTA(O134:O145)&gt;0," WiFi","")))&amp;" "&amp;IF(ISBLANK(O182),O187,IF((LEN(O187&amp;O182)-LEN(SUBSTITUTE(O187&amp;O182,"GB","")))/LEN("GB")&gt;1,SUBSTITUTE(O187,"GB","")&amp;"-"&amp;O182,IF((LEN(O187&amp;O182)-LEN(SUBSTITUTE(O187&amp;O182,"MB","")))/LEN("MB")&gt;1,SUBSTITUTE(O187,"MB","")&amp;"-"&amp;O182,IF((LEN(O187&amp;O182)-LEN(SUBSTITUTE(O187&amp;O182,"TB","")))/LEN("GB")&gt;1,SUBSTITUTE(O187,"TB","")&amp;"-"&amp;O182,O187&amp;"-"&amp;O182)))))</f>
        <v>247</v>
      </c>
      <c r="P22" s="64" t="s">
        <f>=TRIM(SUBSTITUTE(SUBSTITUTE(SUBSTITUTE(P21,"5G",""),"4G",""),"WiFi",""))&amp;(IF(AND(P60&lt;&gt;"",P60&lt;&gt;"No")," 5G",IF(AND(P48="Yes",OR(P60="",P60="No"))," 4G",IF(COUNTA(P134:P145)&gt;0," WiFi","")))&amp;" "&amp;IF(ISBLANK(P182),P187,IF((LEN(P187&amp;P182)-LEN(SUBSTITUTE(P187&amp;P182,"GB","")))/LEN("GB")&gt;1,SUBSTITUTE(P187,"GB","")&amp;"-"&amp;P182,IF((LEN(P187&amp;P182)-LEN(SUBSTITUTE(P187&amp;P182,"MB","")))/LEN("MB")&gt;1,SUBSTITUTE(P187,"MB","")&amp;"-"&amp;P182,IF((LEN(P187&amp;P182)-LEN(SUBSTITUTE(P187&amp;P182,"TB","")))/LEN("GB")&gt;1,SUBSTITUTE(P187,"TB","")&amp;"-"&amp;P182,P187&amp;"-"&amp;P182)))))</f>
        <v>247</v>
      </c>
      <c r="Q22" s="64" t="s">
        <f>=TRIM(SUBSTITUTE(SUBSTITUTE(SUBSTITUTE(Q21,"5G",""),"4G",""),"WiFi",""))&amp;(IF(AND(Q60&lt;&gt;"",Q60&lt;&gt;"No")," 5G",IF(AND(Q48="Yes",OR(Q60="",Q60="No"))," 4G",IF(COUNTA(Q134:Q145)&gt;0," WiFi","")))&amp;" "&amp;IF(ISBLANK(Q182),Q187,IF((LEN(Q187&amp;Q182)-LEN(SUBSTITUTE(Q187&amp;Q182,"GB","")))/LEN("GB")&gt;1,SUBSTITUTE(Q187,"GB","")&amp;"-"&amp;Q182,IF((LEN(Q187&amp;Q182)-LEN(SUBSTITUTE(Q187&amp;Q182,"MB","")))/LEN("MB")&gt;1,SUBSTITUTE(Q187,"MB","")&amp;"-"&amp;Q182,IF((LEN(Q187&amp;Q182)-LEN(SUBSTITUTE(Q187&amp;Q182,"TB","")))/LEN("GB")&gt;1,SUBSTITUTE(Q187,"TB","")&amp;"-"&amp;Q182,Q187&amp;"-"&amp;Q182)))))</f>
        <v>247</v>
      </c>
      <c r="R22" s="64" t="s">
        <f>=TRIM(SUBSTITUTE(SUBSTITUTE(SUBSTITUTE(R21,"5G",""),"4G",""),"WiFi",""))&amp;(IF(AND(R60&lt;&gt;"",R60&lt;&gt;"No")," 5G",IF(AND(R48="Yes",OR(R60="",R60="No"))," 4G",IF(COUNTA(R134:R145)&gt;0," WiFi","")))&amp;" "&amp;IF(ISBLANK(R182),R187,IF((LEN(R187&amp;R182)-LEN(SUBSTITUTE(R187&amp;R182,"GB","")))/LEN("GB")&gt;1,SUBSTITUTE(R187,"GB","")&amp;"-"&amp;R182,IF((LEN(R187&amp;R182)-LEN(SUBSTITUTE(R187&amp;R182,"MB","")))/LEN("MB")&gt;1,SUBSTITUTE(R187,"MB","")&amp;"-"&amp;R182,IF((LEN(R187&amp;R182)-LEN(SUBSTITUTE(R187&amp;R182,"TB","")))/LEN("GB")&gt;1,SUBSTITUTE(R187,"TB","")&amp;"-"&amp;R182,R187&amp;"-"&amp;R182)))))</f>
        <v>247</v>
      </c>
      <c r="S22" s="64" t="s">
        <f>=TRIM(SUBSTITUTE(SUBSTITUTE(SUBSTITUTE(S21,"5G",""),"4G",""),"WiFi",""))&amp;(IF(AND(S60&lt;&gt;"",S60&lt;&gt;"No")," 5G",IF(AND(S48="Yes",OR(S60="",S60="No"))," 4G",IF(COUNTA(S134:S145)&gt;0," WiFi","")))&amp;" "&amp;IF(ISBLANK(S182),S187,IF((LEN(S187&amp;S182)-LEN(SUBSTITUTE(S187&amp;S182,"GB","")))/LEN("GB")&gt;1,SUBSTITUTE(S187,"GB","")&amp;"-"&amp;S182,IF((LEN(S187&amp;S182)-LEN(SUBSTITUTE(S187&amp;S182,"MB","")))/LEN("MB")&gt;1,SUBSTITUTE(S187,"MB","")&amp;"-"&amp;S182,IF((LEN(S187&amp;S182)-LEN(SUBSTITUTE(S187&amp;S182,"TB","")))/LEN("GB")&gt;1,SUBSTITUTE(S187,"TB","")&amp;"-"&amp;S182,S187&amp;"-"&amp;S182)))))</f>
        <v>247</v>
      </c>
      <c r="T22" s="64" t="s">
        <f>=TRIM(SUBSTITUTE(SUBSTITUTE(SUBSTITUTE(T21,"5G",""),"4G",""),"WiFi",""))&amp;(IF(AND(T60&lt;&gt;"",T60&lt;&gt;"No")," 5G",IF(AND(T48="Yes",OR(T60="",T60="No"))," 4G",IF(COUNTA(T134:T145)&gt;0," WiFi","")))&amp;" "&amp;IF(ISBLANK(T182),T187,IF((LEN(T187&amp;T182)-LEN(SUBSTITUTE(T187&amp;T182,"GB","")))/LEN("GB")&gt;1,SUBSTITUTE(T187,"GB","")&amp;"-"&amp;T182,IF((LEN(T187&amp;T182)-LEN(SUBSTITUTE(T187&amp;T182,"MB","")))/LEN("MB")&gt;1,SUBSTITUTE(T187,"MB","")&amp;"-"&amp;T182,IF((LEN(T187&amp;T182)-LEN(SUBSTITUTE(T187&amp;T182,"TB","")))/LEN("GB")&gt;1,SUBSTITUTE(T187,"TB","")&amp;"-"&amp;T182,T187&amp;"-"&amp;T182)))))</f>
        <v>247</v>
      </c>
      <c r="U22" s="64" t="s">
        <f>=TRIM(SUBSTITUTE(SUBSTITUTE(SUBSTITUTE(U21,"5G",""),"4G",""),"WiFi",""))&amp;(IF(AND(U60&lt;&gt;"",U60&lt;&gt;"No")," 5G",IF(AND(U48="Yes",OR(U60="",U60="No"))," 4G",IF(COUNTA(U134:U145)&gt;0," WiFi","")))&amp;" "&amp;IF(ISBLANK(U182),U187,IF((LEN(U187&amp;U182)-LEN(SUBSTITUTE(U187&amp;U182,"GB","")))/LEN("GB")&gt;1,SUBSTITUTE(U187,"GB","")&amp;"-"&amp;U182,IF((LEN(U187&amp;U182)-LEN(SUBSTITUTE(U187&amp;U182,"MB","")))/LEN("MB")&gt;1,SUBSTITUTE(U187,"MB","")&amp;"-"&amp;U182,IF((LEN(U187&amp;U182)-LEN(SUBSTITUTE(U187&amp;U182,"TB","")))/LEN("GB")&gt;1,SUBSTITUTE(U187,"TB","")&amp;"-"&amp;U182,U187&amp;"-"&amp;U182)))))</f>
        <v>247</v>
      </c>
      <c r="V22" s="64" t="s">
        <f>=TRIM(SUBSTITUTE(SUBSTITUTE(SUBSTITUTE(V21,"5G",""),"4G",""),"WiFi",""))&amp;(IF(AND(V60&lt;&gt;"",V60&lt;&gt;"No")," 5G",IF(AND(V48="Yes",OR(V60="",V60="No"))," 4G",IF(COUNTA(V134:V145)&gt;0," WiFi","")))&amp;" "&amp;IF(ISBLANK(V182),V187,IF((LEN(V187&amp;V182)-LEN(SUBSTITUTE(V187&amp;V182,"GB","")))/LEN("GB")&gt;1,SUBSTITUTE(V187,"GB","")&amp;"-"&amp;V182,IF((LEN(V187&amp;V182)-LEN(SUBSTITUTE(V187&amp;V182,"MB","")))/LEN("MB")&gt;1,SUBSTITUTE(V187,"MB","")&amp;"-"&amp;V182,IF((LEN(V187&amp;V182)-LEN(SUBSTITUTE(V187&amp;V182,"TB","")))/LEN("GB")&gt;1,SUBSTITUTE(V187,"TB","")&amp;"-"&amp;V182,V187&amp;"-"&amp;V182)))))</f>
        <v>247</v>
      </c>
      <c r="W22" s="64" t="s">
        <f>=TRIM(SUBSTITUTE(SUBSTITUTE(SUBSTITUTE(W21,"5G",""),"4G",""),"WiFi",""))&amp;(IF(AND(W60&lt;&gt;"",W60&lt;&gt;"No")," 5G",IF(AND(W48="Yes",OR(W60="",W60="No"))," 4G",IF(COUNTA(W134:W145)&gt;0," WiFi","")))&amp;" "&amp;IF(ISBLANK(W182),W187,IF((LEN(W187&amp;W182)-LEN(SUBSTITUTE(W187&amp;W182,"GB","")))/LEN("GB")&gt;1,SUBSTITUTE(W187,"GB","")&amp;"-"&amp;W182,IF((LEN(W187&amp;W182)-LEN(SUBSTITUTE(W187&amp;W182,"MB","")))/LEN("MB")&gt;1,SUBSTITUTE(W187,"MB","")&amp;"-"&amp;W182,IF((LEN(W187&amp;W182)-LEN(SUBSTITUTE(W187&amp;W182,"TB","")))/LEN("GB")&gt;1,SUBSTITUTE(W187,"TB","")&amp;"-"&amp;W182,W187&amp;"-"&amp;W182)))))</f>
        <v>247</v>
      </c>
      <c r="X22" s="64" t="s">
        <f>=TRIM(SUBSTITUTE(SUBSTITUTE(SUBSTITUTE(X21,"5G",""),"4G",""),"WiFi",""))&amp;(IF(AND(X60&lt;&gt;"",X60&lt;&gt;"No")," 5G",IF(AND(X48="Yes",OR(X60="",X60="No"))," 4G",IF(COUNTA(X134:X145)&gt;0," WiFi","")))&amp;" "&amp;IF(ISBLANK(X182),X187,IF((LEN(X187&amp;X182)-LEN(SUBSTITUTE(X187&amp;X182,"GB","")))/LEN("GB")&gt;1,SUBSTITUTE(X187,"GB","")&amp;"-"&amp;X182,IF((LEN(X187&amp;X182)-LEN(SUBSTITUTE(X187&amp;X182,"MB","")))/LEN("MB")&gt;1,SUBSTITUTE(X187,"MB","")&amp;"-"&amp;X182,IF((LEN(X187&amp;X182)-LEN(SUBSTITUTE(X187&amp;X182,"TB","")))/LEN("GB")&gt;1,SUBSTITUTE(X187,"TB","")&amp;"-"&amp;X182,X187&amp;"-"&amp;X182)))))</f>
        <v>247</v>
      </c>
      <c r="Y22" s="64" t="s">
        <f>=TRIM(SUBSTITUTE(SUBSTITUTE(SUBSTITUTE(Y21,"5G",""),"4G",""),"WiFi",""))&amp;(IF(AND(Y60&lt;&gt;"",Y60&lt;&gt;"No")," 5G",IF(AND(Y48="Yes",OR(Y60="",Y60="No"))," 4G",IF(COUNTA(Y134:Y145)&gt;0," WiFi","")))&amp;" "&amp;IF(ISBLANK(Y182),Y187,IF((LEN(Y187&amp;Y182)-LEN(SUBSTITUTE(Y187&amp;Y182,"GB","")))/LEN("GB")&gt;1,SUBSTITUTE(Y187,"GB","")&amp;"-"&amp;Y182,IF((LEN(Y187&amp;Y182)-LEN(SUBSTITUTE(Y187&amp;Y182,"MB","")))/LEN("MB")&gt;1,SUBSTITUTE(Y187,"MB","")&amp;"-"&amp;Y182,IF((LEN(Y187&amp;Y182)-LEN(SUBSTITUTE(Y187&amp;Y182,"TB","")))/LEN("GB")&gt;1,SUBSTITUTE(Y187,"TB","")&amp;"-"&amp;Y182,Y187&amp;"-"&amp;Y182)))))</f>
        <v>247</v>
      </c>
      <c r="Z22" s="64" t="s">
        <f>=TRIM(SUBSTITUTE(SUBSTITUTE(SUBSTITUTE(Z21,"5G",""),"4G",""),"WiFi",""))&amp;(IF(AND(Z60&lt;&gt;"",Z60&lt;&gt;"No")," 5G",IF(AND(Z48="Yes",OR(Z60="",Z60="No"))," 4G",IF(COUNTA(Z134:Z145)&gt;0," WiFi","")))&amp;" "&amp;IF(ISBLANK(Z182),Z187,IF((LEN(Z187&amp;Z182)-LEN(SUBSTITUTE(Z187&amp;Z182,"GB","")))/LEN("GB")&gt;1,SUBSTITUTE(Z187,"GB","")&amp;"-"&amp;Z182,IF((LEN(Z187&amp;Z182)-LEN(SUBSTITUTE(Z187&amp;Z182,"MB","")))/LEN("MB")&gt;1,SUBSTITUTE(Z187,"MB","")&amp;"-"&amp;Z182,IF((LEN(Z187&amp;Z182)-LEN(SUBSTITUTE(Z187&amp;Z182,"TB","")))/LEN("GB")&gt;1,SUBSTITUTE(Z187,"TB","")&amp;"-"&amp;Z182,Z187&amp;"-"&amp;Z182)))))</f>
        <v>247</v>
      </c>
      <c r="AA22" s="64" t="s">
        <f>=TRIM(SUBSTITUTE(SUBSTITUTE(SUBSTITUTE(AA21,"5G",""),"4G",""),"WiFi",""))&amp;(IF(AND(AA60&lt;&gt;"",AA60&lt;&gt;"No")," 5G",IF(AND(AA48="Yes",OR(AA60="",AA60="No"))," 4G",IF(COUNTA(AA134:AA145)&gt;0," WiFi","")))&amp;" "&amp;IF(ISBLANK(AA182),AA187,IF((LEN(AA187&amp;AA182)-LEN(SUBSTITUTE(AA187&amp;AA182,"GB","")))/LEN("GB")&gt;1,SUBSTITUTE(AA187,"GB","")&amp;"-"&amp;AA182,IF((LEN(AA187&amp;AA182)-LEN(SUBSTITUTE(AA187&amp;AA182,"MB","")))/LEN("MB")&gt;1,SUBSTITUTE(AA187,"MB","")&amp;"-"&amp;AA182,IF((LEN(AA187&amp;AA182)-LEN(SUBSTITUTE(AA187&amp;AA182,"TB","")))/LEN("GB")&gt;1,SUBSTITUTE(AA187,"TB","")&amp;"-"&amp;AA182,AA187&amp;"-"&amp;AA182)))))</f>
        <v>247</v>
      </c>
    </row>
    <row r="23" spans="1:27">
      <c r="A23" s="52" t="s">
        <v>248</v>
      </c>
      <c r="B23" s="16" t="s"/>
      <c r="C23" s="63" t="s">
        <v>243</v>
      </c>
      <c r="D23" s="17" t="s"/>
      <c r="E23" s="17" t="s"/>
      <c r="F23" s="65" t="s"/>
      <c r="G23" s="65" t="s"/>
      <c r="H23" s="65" t="s"/>
      <c r="I23" s="65" t="s"/>
      <c r="J23" s="44" t="s"/>
      <c r="K23" s="44" t="s"/>
      <c r="L23" s="65" t="s"/>
      <c r="M23" s="65" t="s"/>
      <c r="N23" s="65" t="s"/>
      <c r="O23" s="65" t="s"/>
      <c r="P23" s="65" t="s"/>
      <c r="Q23" s="65" t="s"/>
      <c r="R23" s="65" t="s"/>
      <c r="S23" s="65" t="s"/>
      <c r="T23" s="65" t="s"/>
      <c r="U23" s="65" t="s"/>
      <c r="V23" s="65" t="s"/>
      <c r="W23" s="65" t="s"/>
      <c r="X23" s="65" t="s"/>
      <c r="Y23" s="65" t="s"/>
      <c r="Z23" s="65" t="s"/>
      <c r="AA23" s="65" t="s"/>
    </row>
    <row r="24" spans="1:27">
      <c r="A24" s="66" t="s">
        <v>249</v>
      </c>
      <c r="B24" s="67" t="s"/>
      <c r="C24" s="63" t="s">
        <v>243</v>
      </c>
      <c r="D24" s="17" t="s"/>
      <c r="E24" s="17" t="s"/>
      <c r="F24" s="68" t="s"/>
      <c r="G24" s="68" t="s"/>
      <c r="H24" s="68" t="s"/>
      <c r="I24" s="68" t="s"/>
      <c r="J24" s="44" t="s"/>
      <c r="K24" s="44" t="s"/>
      <c r="L24" s="68" t="s"/>
      <c r="M24" s="68" t="s"/>
      <c r="N24" s="68" t="s"/>
      <c r="O24" s="68" t="s"/>
      <c r="P24" s="68" t="s"/>
      <c r="Q24" s="68" t="s"/>
      <c r="R24" s="68" t="s"/>
      <c r="S24" s="68" t="s"/>
      <c r="T24" s="68" t="s"/>
      <c r="U24" s="68" t="s"/>
      <c r="V24" s="68" t="s"/>
      <c r="W24" s="68" t="s"/>
      <c r="X24" s="68" t="s"/>
      <c r="Y24" s="68" t="s"/>
      <c r="Z24" s="68" t="s"/>
      <c r="AA24" s="68" t="s"/>
    </row>
    <row r="25" spans="1:27">
      <c r="A25" s="52" t="s">
        <v>250</v>
      </c>
      <c r="B25" s="16" t="s"/>
      <c r="C25" s="63" t="s">
        <v>243</v>
      </c>
      <c r="D25" s="17" t="s"/>
      <c r="E25" s="17" t="s"/>
      <c r="F25" s="68" t="s"/>
      <c r="G25" s="68" t="s"/>
      <c r="H25" s="68" t="s"/>
      <c r="I25" s="68" t="s"/>
      <c r="J25" s="44" t="s"/>
      <c r="K25" s="44" t="s"/>
      <c r="L25" s="68" t="s"/>
      <c r="M25" s="68" t="s"/>
      <c r="N25" s="68" t="s"/>
      <c r="O25" s="68" t="s"/>
      <c r="P25" s="68" t="s"/>
      <c r="Q25" s="68" t="s"/>
      <c r="R25" s="68" t="s"/>
      <c r="S25" s="68" t="s"/>
      <c r="T25" s="68" t="s"/>
      <c r="U25" s="68" t="s"/>
      <c r="V25" s="68" t="s"/>
      <c r="W25" s="68" t="s"/>
      <c r="X25" s="68" t="s"/>
      <c r="Y25" s="68" t="s"/>
      <c r="Z25" s="68" t="s"/>
      <c r="AA25" s="68" t="s"/>
    </row>
    <row r="26" spans="1:27">
      <c r="A26" s="69" t="s">
        <v>251</v>
      </c>
      <c r="B26" s="70" t="s"/>
      <c r="C26" s="36" t="s"/>
      <c r="D26" s="17" t="s"/>
      <c r="E26" s="17" t="s"/>
      <c r="F26" s="38" t="s"/>
      <c r="G26" s="38" t="s"/>
      <c r="H26" s="38" t="s"/>
      <c r="I26" s="38" t="s"/>
      <c r="J26" s="44" t="s"/>
      <c r="K26" s="44" t="s"/>
      <c r="L26" s="38" t="s"/>
      <c r="M26" s="38" t="s"/>
      <c r="N26" s="38" t="s"/>
      <c r="O26" s="38" t="s"/>
      <c r="P26" s="38" t="s"/>
      <c r="Q26" s="38" t="s"/>
      <c r="R26" s="38" t="s"/>
      <c r="S26" s="38" t="s"/>
      <c r="T26" s="38" t="s"/>
      <c r="U26" s="38" t="s"/>
      <c r="V26" s="38" t="s"/>
      <c r="W26" s="38" t="s"/>
      <c r="X26" s="38" t="s"/>
      <c r="Y26" s="38" t="s"/>
      <c r="Z26" s="38" t="s"/>
      <c r="AA26" s="38" t="s"/>
    </row>
    <row r="27" spans="1:27" ht="15" thickBot="true">
      <c r="A27" s="59" t="s">
        <v>252</v>
      </c>
      <c r="B27" s="60" t="s"/>
      <c r="C27" s="61" t="s"/>
      <c r="D27" s="17" t="s"/>
      <c r="E27" s="17" t="s"/>
      <c r="F27" s="62" t="s"/>
      <c r="G27" s="62" t="s"/>
      <c r="H27" s="62" t="s"/>
      <c r="I27" s="62" t="s"/>
      <c r="J27" s="44" t="s"/>
      <c r="K27" s="44" t="s"/>
      <c r="L27" s="62" t="s"/>
      <c r="M27" s="62" t="s"/>
      <c r="N27" s="62" t="s"/>
      <c r="O27" s="62" t="s"/>
      <c r="P27" s="62" t="s"/>
      <c r="Q27" s="62" t="s"/>
      <c r="R27" s="62" t="s"/>
      <c r="S27" s="62" t="s"/>
      <c r="T27" s="62" t="s"/>
      <c r="U27" s="62" t="s"/>
      <c r="V27" s="62" t="s"/>
      <c r="W27" s="62" t="s"/>
      <c r="X27" s="62" t="s"/>
      <c r="Y27" s="62" t="s"/>
      <c r="Z27" s="62" t="s"/>
      <c r="AA27" s="62" t="s"/>
    </row>
    <row r="28" spans="1:27" ht="15" thickBot="true">
      <c r="A28" s="39" t="s">
        <v>253</v>
      </c>
      <c r="B28" s="40" t="s"/>
      <c r="C28" s="41" t="s"/>
      <c r="D28" s="37" t="s">
        <v>254</v>
      </c>
      <c r="E28" s="48" t="s">
        <v>255</v>
      </c>
      <c r="F28" s="71" t="s">
        <v>191</v>
      </c>
      <c r="G28" s="71" t="s">
        <v>191</v>
      </c>
      <c r="H28" s="71" t="s">
        <v>191</v>
      </c>
      <c r="I28" s="72" t="s"/>
      <c r="J28" s="44" t="s">
        <v>219</v>
      </c>
      <c r="K28" s="44" t="s">
        <v>219</v>
      </c>
      <c r="L28" s="72" t="s"/>
      <c r="M28" s="72" t="s"/>
      <c r="N28" s="72" t="s"/>
      <c r="O28" s="72" t="s"/>
      <c r="P28" s="72" t="s"/>
      <c r="Q28" s="72" t="s"/>
      <c r="R28" s="72" t="s"/>
      <c r="S28" s="72" t="s"/>
      <c r="T28" s="72" t="s"/>
      <c r="U28" s="72" t="s"/>
      <c r="V28" s="72" t="s"/>
      <c r="W28" s="72" t="s"/>
      <c r="X28" s="72" t="s"/>
      <c r="Y28" s="72" t="s"/>
      <c r="Z28" s="72" t="s"/>
      <c r="AA28" s="72" t="s"/>
    </row>
    <row r="29" spans="1:27">
      <c r="A29" s="52" t="s">
        <v>256</v>
      </c>
      <c r="B29" s="16" t="s"/>
      <c r="C29" s="41" t="s"/>
      <c r="D29" s="37" t="s">
        <v>254</v>
      </c>
      <c r="E29" s="48" t="s">
        <v>255</v>
      </c>
      <c r="F29" s="44" t="s">
        <v>257</v>
      </c>
      <c r="G29" s="44" t="s">
        <v>257</v>
      </c>
      <c r="H29" s="44" t="s">
        <v>257</v>
      </c>
      <c r="I29" s="44" t="s"/>
      <c r="J29" s="73" t="s">
        <v>219</v>
      </c>
      <c r="K29" s="44" t="s">
        <v>219</v>
      </c>
      <c r="L29" s="44" t="s"/>
      <c r="M29" s="44" t="s"/>
      <c r="N29" s="44" t="s"/>
      <c r="O29" s="44" t="s"/>
      <c r="P29" s="44" t="s"/>
      <c r="Q29" s="44" t="s"/>
      <c r="R29" s="44" t="s"/>
      <c r="S29" s="44" t="s"/>
      <c r="T29" s="44" t="s"/>
      <c r="U29" s="44" t="s"/>
      <c r="V29" s="44" t="s"/>
      <c r="W29" s="44" t="s"/>
      <c r="X29" s="44" t="s"/>
      <c r="Y29" s="44" t="s"/>
      <c r="Z29" s="44" t="s"/>
      <c r="AA29" s="44" t="s"/>
    </row>
    <row r="30" spans="1:27">
      <c r="A30" s="49" t="s">
        <v>258</v>
      </c>
      <c r="B30" s="50" t="s"/>
      <c r="C30" s="63" t="s">
        <v>243</v>
      </c>
      <c r="D30" s="17" t="s"/>
      <c r="E30" s="17" t="s"/>
      <c r="F30" s="74" t="s"/>
      <c r="G30" s="74" t="s"/>
      <c r="H30" s="74" t="s"/>
      <c r="I30" s="74" t="s"/>
      <c r="J30" s="44" t="s"/>
      <c r="K30" s="44" t="s"/>
      <c r="L30" s="74" t="s"/>
      <c r="M30" s="74" t="s"/>
      <c r="N30" s="74" t="s"/>
      <c r="O30" s="74" t="s"/>
      <c r="P30" s="74" t="s"/>
      <c r="Q30" s="74" t="s"/>
      <c r="R30" s="74" t="s"/>
      <c r="S30" s="74" t="s"/>
      <c r="T30" s="74" t="s"/>
      <c r="U30" s="74" t="s"/>
      <c r="V30" s="74" t="s"/>
      <c r="W30" s="74" t="s"/>
      <c r="X30" s="74" t="s"/>
      <c r="Y30" s="74" t="s"/>
      <c r="Z30" s="74" t="s"/>
      <c r="AA30" s="74" t="s"/>
    </row>
    <row r="31" spans="1:27">
      <c r="A31" s="52" t="s">
        <v>259</v>
      </c>
      <c r="B31" s="16" t="s"/>
      <c r="C31" s="41" t="s"/>
      <c r="D31" s="37" t="s">
        <v>254</v>
      </c>
      <c r="E31" s="48" t="s">
        <v>255</v>
      </c>
      <c r="F31" s="75" t="s">
        <v>191</v>
      </c>
      <c r="G31" s="75" t="s">
        <v>191</v>
      </c>
      <c r="H31" s="75" t="s">
        <v>191</v>
      </c>
      <c r="I31" s="76" t="s"/>
      <c r="J31" s="73" t="s">
        <v>219</v>
      </c>
      <c r="K31" s="44" t="s">
        <v>219</v>
      </c>
      <c r="L31" s="76" t="s"/>
      <c r="M31" s="76" t="s"/>
      <c r="N31" s="76" t="s"/>
      <c r="O31" s="76" t="s"/>
      <c r="P31" s="76" t="s"/>
      <c r="Q31" s="76" t="s"/>
      <c r="R31" s="76" t="s"/>
      <c r="S31" s="76" t="s"/>
      <c r="T31" s="76" t="s"/>
      <c r="U31" s="76" t="s"/>
      <c r="V31" s="76" t="s"/>
      <c r="W31" s="76" t="s"/>
      <c r="X31" s="76" t="s"/>
      <c r="Y31" s="76" t="s"/>
      <c r="Z31" s="76" t="s"/>
      <c r="AA31" s="76" t="s"/>
    </row>
    <row r="32" spans="1:27">
      <c r="A32" s="52" t="s">
        <v>260</v>
      </c>
      <c r="B32" s="16" t="s"/>
      <c r="C32" s="41" t="s"/>
      <c r="D32" s="37" t="s">
        <v>254</v>
      </c>
      <c r="E32" s="48" t="s">
        <v>255</v>
      </c>
      <c r="F32" s="44" t="s">
        <v>257</v>
      </c>
      <c r="G32" s="77" t="s">
        <v>257</v>
      </c>
      <c r="H32" s="77" t="s">
        <v>257</v>
      </c>
      <c r="I32" s="44" t="s"/>
      <c r="J32" s="73" t="s">
        <v>219</v>
      </c>
      <c r="K32" s="44" t="s">
        <v>219</v>
      </c>
      <c r="L32" s="44" t="s"/>
      <c r="M32" s="44" t="s"/>
      <c r="N32" s="44" t="s"/>
      <c r="O32" s="44" t="s"/>
      <c r="P32" s="44" t="s"/>
      <c r="Q32" s="44" t="s"/>
      <c r="R32" s="44" t="s"/>
      <c r="S32" s="44" t="s"/>
      <c r="T32" s="44" t="s"/>
      <c r="U32" s="44" t="s"/>
      <c r="V32" s="44" t="s"/>
      <c r="W32" s="44" t="s"/>
      <c r="X32" s="44" t="s"/>
      <c r="Y32" s="44" t="s"/>
      <c r="Z32" s="44" t="s"/>
      <c r="AA32" s="44" t="s"/>
    </row>
    <row r="33" spans="1:27">
      <c r="A33" s="52" t="s">
        <v>261</v>
      </c>
      <c r="B33" s="16" t="s"/>
      <c r="C33" s="41" t="s"/>
      <c r="D33" s="37" t="s">
        <v>254</v>
      </c>
      <c r="E33" s="48" t="s">
        <v>255</v>
      </c>
      <c r="F33" s="75">
        <v>8</v>
      </c>
      <c r="G33" s="75">
        <v>8</v>
      </c>
      <c r="H33" s="75">
        <v>8</v>
      </c>
      <c r="I33" s="76" t="s"/>
      <c r="J33" s="73" t="s">
        <v>219</v>
      </c>
      <c r="K33" s="44" t="s">
        <v>219</v>
      </c>
      <c r="L33" s="76" t="s"/>
      <c r="M33" s="76" t="s"/>
      <c r="N33" s="76" t="s"/>
      <c r="O33" s="76" t="s"/>
      <c r="P33" s="76" t="s"/>
      <c r="Q33" s="76" t="s"/>
      <c r="R33" s="76" t="s"/>
      <c r="S33" s="76" t="s"/>
      <c r="T33" s="76" t="s"/>
      <c r="U33" s="76" t="s"/>
      <c r="V33" s="76" t="s"/>
      <c r="W33" s="76" t="s"/>
      <c r="X33" s="76" t="s"/>
      <c r="Y33" s="76" t="s"/>
      <c r="Z33" s="76" t="s"/>
      <c r="AA33" s="76" t="s"/>
    </row>
    <row r="34" spans="1:27">
      <c r="A34" s="52" t="s">
        <v>262</v>
      </c>
      <c r="B34" s="16" t="s"/>
      <c r="C34" s="41" t="s"/>
      <c r="D34" s="37" t="s">
        <v>254</v>
      </c>
      <c r="E34" s="48" t="s">
        <v>255</v>
      </c>
      <c r="F34" s="77" t="s">
        <v>263</v>
      </c>
      <c r="G34" s="77" t="s">
        <v>263</v>
      </c>
      <c r="H34" s="77" t="s">
        <v>263</v>
      </c>
      <c r="I34" s="78" t="s"/>
      <c r="J34" s="73" t="s">
        <v>219</v>
      </c>
      <c r="K34" s="44" t="s">
        <v>219</v>
      </c>
      <c r="L34" s="78" t="s"/>
      <c r="M34" s="78" t="s"/>
      <c r="N34" s="78" t="s"/>
      <c r="O34" s="78" t="s"/>
      <c r="P34" s="78" t="s"/>
      <c r="Q34" s="78" t="s"/>
      <c r="R34" s="78" t="s"/>
      <c r="S34" s="78" t="s"/>
      <c r="T34" s="78" t="s"/>
      <c r="U34" s="78" t="s"/>
      <c r="V34" s="78" t="s"/>
      <c r="W34" s="78" t="s"/>
      <c r="X34" s="78" t="s"/>
      <c r="Y34" s="78" t="s"/>
      <c r="Z34" s="78" t="s"/>
      <c r="AA34" s="78" t="s"/>
    </row>
    <row r="35" spans="1:27" ht="15" thickBot="true">
      <c r="A35" s="79" t="s">
        <v>264</v>
      </c>
      <c r="B35" s="79" t="s"/>
      <c r="C35" s="61" t="s"/>
      <c r="D35" s="17" t="s"/>
      <c r="E35" s="17" t="s"/>
      <c r="F35" s="62" t="s"/>
      <c r="G35" s="62" t="s"/>
      <c r="H35" s="62" t="s"/>
      <c r="I35" s="62" t="s"/>
      <c r="J35" s="44" t="s"/>
      <c r="K35" s="44" t="s"/>
      <c r="L35" s="62" t="s"/>
      <c r="M35" s="62" t="s"/>
      <c r="N35" s="62" t="s"/>
      <c r="O35" s="62" t="s"/>
      <c r="P35" s="62" t="s"/>
      <c r="Q35" s="62" t="s"/>
      <c r="R35" s="62" t="s"/>
      <c r="S35" s="62" t="s"/>
      <c r="T35" s="62" t="s"/>
      <c r="U35" s="62" t="s"/>
      <c r="V35" s="62" t="s"/>
      <c r="W35" s="62" t="s"/>
      <c r="X35" s="62" t="s"/>
      <c r="Y35" s="62" t="s"/>
      <c r="Z35" s="62" t="s"/>
      <c r="AA35" s="62" t="s"/>
    </row>
    <row r="36" spans="1:27" ht="15" thickBot="true">
      <c r="A36" s="80" t="s">
        <v>265</v>
      </c>
      <c r="B36" s="81" t="s"/>
      <c r="C36" s="41" t="s"/>
      <c r="D36" s="37" t="s">
        <v>216</v>
      </c>
      <c r="E36" s="37" t="s">
        <v>217</v>
      </c>
      <c r="F36" s="42" t="s">
        <v>266</v>
      </c>
      <c r="G36" s="42" t="s">
        <v>266</v>
      </c>
      <c r="H36" s="42" t="s">
        <v>266</v>
      </c>
      <c r="I36" s="43" t="s"/>
      <c r="J36" s="44" t="s">
        <v>219</v>
      </c>
      <c r="K36" s="44" t="s">
        <v>219</v>
      </c>
      <c r="L36" s="43" t="s"/>
      <c r="M36" s="43" t="s"/>
      <c r="N36" s="43" t="s"/>
      <c r="O36" s="43" t="s"/>
      <c r="P36" s="43" t="s"/>
      <c r="Q36" s="43" t="s"/>
      <c r="R36" s="43" t="s"/>
      <c r="S36" s="43" t="s"/>
      <c r="T36" s="43" t="s"/>
      <c r="U36" s="43" t="s"/>
      <c r="V36" s="43" t="s"/>
      <c r="W36" s="43" t="s"/>
      <c r="X36" s="43" t="s"/>
      <c r="Y36" s="43" t="s"/>
      <c r="Z36" s="43" t="s"/>
      <c r="AA36" s="43" t="s"/>
    </row>
    <row r="37" spans="1:27">
      <c r="A37" s="52" t="s">
        <v>267</v>
      </c>
      <c r="B37" s="16" t="s"/>
      <c r="C37" s="41" t="s"/>
      <c r="D37" s="37" t="s">
        <v>216</v>
      </c>
      <c r="E37" s="37" t="s">
        <v>217</v>
      </c>
      <c r="F37" s="44" t="s">
        <v>268</v>
      </c>
      <c r="G37" s="44" t="s">
        <v>268</v>
      </c>
      <c r="H37" s="44" t="s">
        <v>268</v>
      </c>
      <c r="I37" s="44" t="s"/>
      <c r="J37" s="44" t="s">
        <v>219</v>
      </c>
      <c r="K37" s="44" t="s">
        <v>219</v>
      </c>
      <c r="L37" s="44" t="s"/>
      <c r="M37" s="44" t="s"/>
      <c r="N37" s="44" t="s"/>
      <c r="O37" s="44" t="s"/>
      <c r="P37" s="44" t="s"/>
      <c r="Q37" s="44" t="s"/>
      <c r="R37" s="44" t="s"/>
      <c r="S37" s="44" t="s"/>
      <c r="T37" s="44" t="s"/>
      <c r="U37" s="44" t="s"/>
      <c r="V37" s="44" t="s"/>
      <c r="W37" s="44" t="s"/>
      <c r="X37" s="44" t="s"/>
      <c r="Y37" s="44" t="s"/>
      <c r="Z37" s="44" t="s"/>
      <c r="AA37" s="44" t="s"/>
    </row>
    <row r="38" spans="1:27">
      <c r="A38" s="82" t="s">
        <v>269</v>
      </c>
      <c r="B38" s="47" t="s"/>
      <c r="C38" s="41" t="s"/>
      <c r="D38" s="37" t="s">
        <v>216</v>
      </c>
      <c r="E38" s="37" t="s">
        <v>217</v>
      </c>
      <c r="F38" s="83" t="s">
        <v>270</v>
      </c>
      <c r="G38" s="83" t="s">
        <v>270</v>
      </c>
      <c r="H38" s="83">
        <v>1</v>
      </c>
      <c r="I38" s="83" t="s"/>
      <c r="J38" s="44" t="s">
        <v>219</v>
      </c>
      <c r="K38" s="44" t="s">
        <v>219</v>
      </c>
      <c r="L38" s="83" t="s"/>
      <c r="M38" s="83" t="s"/>
      <c r="N38" s="83" t="s"/>
      <c r="O38" s="83" t="s"/>
      <c r="P38" s="83" t="s"/>
      <c r="Q38" s="83" t="s"/>
      <c r="R38" s="83" t="s"/>
      <c r="S38" s="83" t="s"/>
      <c r="T38" s="83" t="s"/>
      <c r="U38" s="83" t="s"/>
      <c r="V38" s="83" t="s"/>
      <c r="W38" s="83" t="s"/>
      <c r="X38" s="83" t="s"/>
      <c r="Y38" s="83" t="s"/>
      <c r="Z38" s="83" t="s"/>
      <c r="AA38" s="83" t="s"/>
    </row>
    <row r="39" spans="1:27">
      <c r="A39" s="82" t="s">
        <v>271</v>
      </c>
      <c r="B39" s="47" t="s"/>
      <c r="C39" s="41" t="s"/>
      <c r="D39" s="37" t="s">
        <v>272</v>
      </c>
      <c r="E39" s="37" t="s">
        <v>273</v>
      </c>
      <c r="F39" s="83">
        <v>2</v>
      </c>
      <c r="G39" s="83">
        <v>2</v>
      </c>
      <c r="H39" s="83">
        <v>2</v>
      </c>
      <c r="I39" s="83" t="s"/>
      <c r="J39" s="44" t="s">
        <v>219</v>
      </c>
      <c r="K39" s="44" t="s">
        <v>219</v>
      </c>
      <c r="L39" s="83" t="s"/>
      <c r="M39" s="83" t="s"/>
      <c r="N39" s="83" t="s"/>
      <c r="O39" s="83" t="s"/>
      <c r="P39" s="83" t="s"/>
      <c r="Q39" s="83" t="s"/>
      <c r="R39" s="83" t="s"/>
      <c r="S39" s="83" t="s"/>
      <c r="T39" s="83" t="s"/>
      <c r="U39" s="83" t="s"/>
      <c r="V39" s="83" t="s"/>
      <c r="W39" s="83" t="s"/>
      <c r="X39" s="83" t="s"/>
      <c r="Y39" s="83" t="s"/>
      <c r="Z39" s="83" t="s"/>
      <c r="AA39" s="83" t="s"/>
    </row>
    <row r="40" spans="1:27">
      <c r="A40" s="82" t="s">
        <v>274</v>
      </c>
      <c r="B40" s="47" t="s"/>
      <c r="C40" s="41" t="s"/>
      <c r="D40" s="37" t="s">
        <v>272</v>
      </c>
      <c r="E40" s="37" t="s">
        <v>273</v>
      </c>
      <c r="F40" s="75" t="s">
        <v>275</v>
      </c>
      <c r="G40" s="75" t="s">
        <v>275</v>
      </c>
      <c r="H40" s="75" t="s">
        <v>275</v>
      </c>
      <c r="I40" s="76" t="s"/>
      <c r="J40" s="44" t="s">
        <v>219</v>
      </c>
      <c r="K40" s="44" t="s">
        <v>219</v>
      </c>
      <c r="L40" s="76" t="s"/>
      <c r="M40" s="76" t="s"/>
      <c r="N40" s="76" t="s"/>
      <c r="O40" s="76" t="s"/>
      <c r="P40" s="76" t="s"/>
      <c r="Q40" s="76" t="s"/>
      <c r="R40" s="76" t="s"/>
      <c r="S40" s="76" t="s"/>
      <c r="T40" s="76" t="s"/>
      <c r="U40" s="76" t="s"/>
      <c r="V40" s="76" t="s"/>
      <c r="W40" s="76" t="s"/>
      <c r="X40" s="76" t="s"/>
      <c r="Y40" s="76" t="s"/>
      <c r="Z40" s="76" t="s"/>
      <c r="AA40" s="76" t="s"/>
    </row>
    <row r="41" spans="1:27">
      <c r="A41" s="84" t="s">
        <v>276</v>
      </c>
      <c r="B41" s="85" t="s"/>
      <c r="C41" s="61" t="s"/>
      <c r="D41" s="17" t="s"/>
      <c r="E41" s="17" t="s"/>
      <c r="F41" s="86" t="s"/>
      <c r="G41" s="86" t="s"/>
      <c r="H41" s="86" t="s"/>
      <c r="I41" s="86" t="s"/>
      <c r="J41" s="44" t="s"/>
      <c r="K41" s="44" t="s"/>
      <c r="L41" s="86" t="s"/>
      <c r="M41" s="86" t="s"/>
      <c r="N41" s="86" t="s"/>
      <c r="O41" s="86" t="s"/>
      <c r="P41" s="86" t="s"/>
      <c r="Q41" s="86" t="s"/>
      <c r="R41" s="86" t="s"/>
      <c r="S41" s="86" t="s"/>
      <c r="T41" s="86" t="s"/>
      <c r="U41" s="86" t="s"/>
      <c r="V41" s="86" t="s"/>
      <c r="W41" s="86" t="s"/>
      <c r="X41" s="86" t="s"/>
      <c r="Y41" s="86" t="s"/>
      <c r="Z41" s="86" t="s"/>
      <c r="AA41" s="86" t="s"/>
    </row>
    <row r="42" spans="1:27" ht="15.5">
      <c r="A42" s="52" t="s">
        <v>277</v>
      </c>
      <c r="B42" s="16" t="s"/>
      <c r="C42" s="41" t="s"/>
      <c r="D42" s="37" t="s">
        <v>254</v>
      </c>
      <c r="E42" s="48" t="s">
        <v>255</v>
      </c>
      <c r="F42" s="75" t="s">
        <v>17</v>
      </c>
      <c r="G42" s="75" t="s">
        <v>17</v>
      </c>
      <c r="H42" s="75" t="s">
        <v>17</v>
      </c>
      <c r="I42" s="76" t="s"/>
      <c r="J42" s="73" t="s">
        <v>219</v>
      </c>
      <c r="K42" s="44" t="s">
        <v>219</v>
      </c>
      <c r="L42" s="76" t="s"/>
      <c r="M42" s="76" t="s"/>
      <c r="N42" s="76" t="s"/>
      <c r="O42" s="76" t="s"/>
      <c r="P42" s="76" t="s"/>
      <c r="Q42" s="76" t="s"/>
      <c r="R42" s="76" t="s"/>
      <c r="S42" s="76" t="s"/>
      <c r="T42" s="76" t="s"/>
      <c r="U42" s="76" t="s"/>
      <c r="V42" s="76" t="s"/>
      <c r="W42" s="76" t="s"/>
      <c r="X42" s="76" t="s"/>
      <c r="Y42" s="76" t="s"/>
      <c r="Z42" s="76" t="s"/>
      <c r="AA42" s="76" t="s"/>
    </row>
    <row r="43" spans="1:27">
      <c r="A43" s="66" t="s">
        <v>278</v>
      </c>
      <c r="B43" s="67" t="s"/>
      <c r="C43" s="41" t="s"/>
      <c r="D43" s="37" t="s">
        <v>254</v>
      </c>
      <c r="E43" s="48" t="s">
        <v>255</v>
      </c>
      <c r="F43" s="87" t="s">
        <v>17</v>
      </c>
      <c r="G43" s="87" t="s">
        <v>17</v>
      </c>
      <c r="H43" s="87" t="s">
        <v>17</v>
      </c>
      <c r="I43" s="57" t="s"/>
      <c r="J43" s="73" t="s">
        <v>219</v>
      </c>
      <c r="K43" s="44" t="s">
        <v>219</v>
      </c>
      <c r="L43" s="57" t="s"/>
      <c r="M43" s="57" t="s"/>
      <c r="N43" s="57" t="s"/>
      <c r="O43" s="57" t="s"/>
      <c r="P43" s="57" t="s"/>
      <c r="Q43" s="57" t="s"/>
      <c r="R43" s="57" t="s"/>
      <c r="S43" s="57" t="s"/>
      <c r="T43" s="57" t="s"/>
      <c r="U43" s="57" t="s"/>
      <c r="V43" s="57" t="s"/>
      <c r="W43" s="57" t="s"/>
      <c r="X43" s="57" t="s"/>
      <c r="Y43" s="57" t="s"/>
      <c r="Z43" s="57" t="s"/>
      <c r="AA43" s="57" t="s"/>
    </row>
    <row r="44" spans="1:27" ht="15.5">
      <c r="A44" s="66" t="s">
        <v>279</v>
      </c>
      <c r="B44" s="67" t="s"/>
      <c r="C44" s="41" t="s"/>
      <c r="D44" s="37" t="s">
        <v>254</v>
      </c>
      <c r="E44" s="48" t="s">
        <v>255</v>
      </c>
      <c r="F44" s="75" t="s">
        <v>17</v>
      </c>
      <c r="G44" s="75" t="s">
        <v>17</v>
      </c>
      <c r="H44" s="75" t="s">
        <v>17</v>
      </c>
      <c r="I44" s="76" t="s"/>
      <c r="J44" s="73" t="s">
        <v>219</v>
      </c>
      <c r="K44" s="44" t="s">
        <v>219</v>
      </c>
      <c r="L44" s="76" t="s"/>
      <c r="M44" s="76" t="s"/>
      <c r="N44" s="76" t="s"/>
      <c r="O44" s="76" t="s"/>
      <c r="P44" s="76" t="s"/>
      <c r="Q44" s="76" t="s"/>
      <c r="R44" s="76" t="s"/>
      <c r="S44" s="76" t="s"/>
      <c r="T44" s="76" t="s"/>
      <c r="U44" s="76" t="s"/>
      <c r="V44" s="76" t="s"/>
      <c r="W44" s="76" t="s"/>
      <c r="X44" s="76" t="s"/>
      <c r="Y44" s="76" t="s"/>
      <c r="Z44" s="76" t="s"/>
      <c r="AA44" s="76" t="s"/>
    </row>
    <row r="45" spans="1:27">
      <c r="A45" s="52" t="s">
        <v>280</v>
      </c>
      <c r="B45" s="50" t="s"/>
      <c r="C45" s="41" t="s"/>
      <c r="D45" s="37" t="s">
        <v>254</v>
      </c>
      <c r="E45" s="48" t="s">
        <v>255</v>
      </c>
      <c r="F45" s="87" t="s">
        <v>17</v>
      </c>
      <c r="G45" s="87" t="s">
        <v>17</v>
      </c>
      <c r="H45" s="87" t="s">
        <v>17</v>
      </c>
      <c r="I45" s="57" t="s"/>
      <c r="J45" s="73" t="s">
        <v>219</v>
      </c>
      <c r="K45" s="44" t="s">
        <v>219</v>
      </c>
      <c r="L45" s="57" t="s"/>
      <c r="M45" s="57" t="s"/>
      <c r="N45" s="57" t="s"/>
      <c r="O45" s="57" t="s"/>
      <c r="P45" s="57" t="s"/>
      <c r="Q45" s="57" t="s"/>
      <c r="R45" s="57" t="s"/>
      <c r="S45" s="57" t="s"/>
      <c r="T45" s="57" t="s"/>
      <c r="U45" s="57" t="s"/>
      <c r="V45" s="57" t="s"/>
      <c r="W45" s="57" t="s"/>
      <c r="X45" s="57" t="s"/>
      <c r="Y45" s="57" t="s"/>
      <c r="Z45" s="57" t="s"/>
      <c r="AA45" s="57" t="s"/>
    </row>
    <row r="46" spans="1:27">
      <c r="A46" s="66" t="s">
        <v>281</v>
      </c>
      <c r="B46" s="67" t="s"/>
      <c r="C46" s="41" t="s"/>
      <c r="D46" s="37" t="s">
        <v>254</v>
      </c>
      <c r="E46" s="48" t="s">
        <v>255</v>
      </c>
      <c r="F46" s="87" t="s">
        <v>17</v>
      </c>
      <c r="G46" s="87" t="s">
        <v>17</v>
      </c>
      <c r="H46" s="87" t="s">
        <v>17</v>
      </c>
      <c r="I46" s="57" t="s"/>
      <c r="J46" s="73" t="s">
        <v>219</v>
      </c>
      <c r="K46" s="44" t="s">
        <v>219</v>
      </c>
      <c r="L46" s="57" t="s"/>
      <c r="M46" s="57" t="s"/>
      <c r="N46" s="57" t="s"/>
      <c r="O46" s="57" t="s"/>
      <c r="P46" s="57" t="s"/>
      <c r="Q46" s="57" t="s"/>
      <c r="R46" s="57" t="s"/>
      <c r="S46" s="57" t="s"/>
      <c r="T46" s="57" t="s"/>
      <c r="U46" s="57" t="s"/>
      <c r="V46" s="57" t="s"/>
      <c r="W46" s="57" t="s"/>
      <c r="X46" s="57" t="s"/>
      <c r="Y46" s="57" t="s"/>
      <c r="Z46" s="57" t="s"/>
      <c r="AA46" s="57" t="s"/>
    </row>
    <row r="47" spans="1:27" ht="15" thickBot="true">
      <c r="A47" s="88" t="s">
        <v>282</v>
      </c>
      <c r="B47" s="16" t="s"/>
      <c r="C47" s="41" t="s"/>
      <c r="D47" s="37" t="s">
        <v>254</v>
      </c>
      <c r="E47" s="48" t="s">
        <v>255</v>
      </c>
      <c r="F47" s="89" t="s">
        <v>17</v>
      </c>
      <c r="G47" s="89" t="s">
        <v>17</v>
      </c>
      <c r="H47" s="89" t="s">
        <v>17</v>
      </c>
      <c r="I47" s="90" t="s"/>
      <c r="J47" s="73" t="s">
        <v>219</v>
      </c>
      <c r="K47" s="44" t="s">
        <v>219</v>
      </c>
      <c r="L47" s="90" t="s"/>
      <c r="M47" s="90" t="s"/>
      <c r="N47" s="90" t="s"/>
      <c r="O47" s="90" t="s"/>
      <c r="P47" s="90" t="s"/>
      <c r="Q47" s="90" t="s"/>
      <c r="R47" s="90" t="s"/>
      <c r="S47" s="90" t="s"/>
      <c r="T47" s="90" t="s"/>
      <c r="U47" s="90" t="s"/>
      <c r="V47" s="90" t="s"/>
      <c r="W47" s="90" t="s"/>
      <c r="X47" s="90" t="s"/>
      <c r="Y47" s="90" t="s"/>
      <c r="Z47" s="90" t="s"/>
      <c r="AA47" s="90" t="s"/>
    </row>
    <row r="48" spans="1:27" ht="16" thickBot="true">
      <c r="A48" s="80" t="s">
        <v>283</v>
      </c>
      <c r="B48" s="40" t="s"/>
      <c r="C48" s="41" t="s"/>
      <c r="D48" s="37" t="s">
        <v>254</v>
      </c>
      <c r="E48" s="48" t="s">
        <v>255</v>
      </c>
      <c r="F48" s="91" t="s">
        <v>17</v>
      </c>
      <c r="G48" s="91" t="s">
        <v>17</v>
      </c>
      <c r="H48" s="91" t="s">
        <v>17</v>
      </c>
      <c r="I48" s="92" t="s"/>
      <c r="J48" s="73" t="s">
        <v>219</v>
      </c>
      <c r="K48" s="44" t="s">
        <v>219</v>
      </c>
      <c r="L48" s="92" t="s"/>
      <c r="M48" s="92" t="s"/>
      <c r="N48" s="92" t="s"/>
      <c r="O48" s="92" t="s"/>
      <c r="P48" s="92" t="s"/>
      <c r="Q48" s="92" t="s"/>
      <c r="R48" s="92" t="s"/>
      <c r="S48" s="92" t="s"/>
      <c r="T48" s="92" t="s"/>
      <c r="U48" s="92" t="s"/>
      <c r="V48" s="92" t="s"/>
      <c r="W48" s="92" t="s"/>
      <c r="X48" s="92" t="s"/>
      <c r="Y48" s="92" t="s"/>
      <c r="Z48" s="92" t="s"/>
      <c r="AA48" s="92" t="s"/>
    </row>
    <row r="49" spans="1:27">
      <c r="A49" s="49" t="s">
        <v>284</v>
      </c>
      <c r="B49" s="93" t="s"/>
      <c r="C49" s="41" t="s"/>
      <c r="D49" s="37" t="s">
        <v>254</v>
      </c>
      <c r="E49" s="48" t="s">
        <v>255</v>
      </c>
      <c r="F49" s="94" t="s">
        <v>285</v>
      </c>
      <c r="G49" s="94" t="s">
        <v>285</v>
      </c>
      <c r="H49" s="94" t="s">
        <v>285</v>
      </c>
      <c r="I49" s="95" t="s"/>
      <c r="J49" s="73" t="s">
        <v>219</v>
      </c>
      <c r="K49" s="44" t="s">
        <v>219</v>
      </c>
      <c r="L49" s="95" t="s"/>
      <c r="M49" s="95" t="s"/>
      <c r="N49" s="95" t="s"/>
      <c r="O49" s="95" t="s"/>
      <c r="P49" s="95" t="s"/>
      <c r="Q49" s="95" t="s"/>
      <c r="R49" s="95" t="s"/>
      <c r="S49" s="95" t="s"/>
      <c r="T49" s="95" t="s"/>
      <c r="U49" s="95" t="s"/>
      <c r="V49" s="95" t="s"/>
      <c r="W49" s="95" t="s"/>
      <c r="X49" s="95" t="s"/>
      <c r="Y49" s="95" t="s"/>
      <c r="Z49" s="95" t="s"/>
      <c r="AA49" s="95" t="s"/>
    </row>
    <row r="50" spans="1:27">
      <c r="A50" s="66" t="s">
        <v>286</v>
      </c>
      <c r="B50" s="67" t="s"/>
      <c r="C50" s="41" t="s"/>
      <c r="D50" s="37" t="s">
        <v>254</v>
      </c>
      <c r="E50" s="48" t="s">
        <v>255</v>
      </c>
      <c r="F50" s="87" t="s">
        <v>93</v>
      </c>
      <c r="G50" s="87" t="s">
        <v>93</v>
      </c>
      <c r="H50" s="87" t="s">
        <v>93</v>
      </c>
      <c r="I50" s="57" t="s"/>
      <c r="J50" s="73" t="s">
        <v>219</v>
      </c>
      <c r="K50" s="44" t="s">
        <v>219</v>
      </c>
      <c r="L50" s="57" t="s"/>
      <c r="M50" s="57" t="s"/>
      <c r="N50" s="57" t="s"/>
      <c r="O50" s="57" t="s"/>
      <c r="P50" s="57" t="s"/>
      <c r="Q50" s="57" t="s"/>
      <c r="R50" s="57" t="s"/>
      <c r="S50" s="57" t="s"/>
      <c r="T50" s="57" t="s"/>
      <c r="U50" s="57" t="s"/>
      <c r="V50" s="57" t="s"/>
      <c r="W50" s="57" t="s"/>
      <c r="X50" s="57" t="s"/>
      <c r="Y50" s="57" t="s"/>
      <c r="Z50" s="57" t="s"/>
      <c r="AA50" s="57" t="s"/>
    </row>
    <row r="51" spans="1:27">
      <c r="A51" s="52" t="s">
        <v>287</v>
      </c>
      <c r="B51" s="52" t="s"/>
      <c r="C51" s="96" t="s"/>
      <c r="D51" s="37" t="s">
        <v>254</v>
      </c>
      <c r="E51" s="48" t="s">
        <v>255</v>
      </c>
      <c r="F51" s="87" t="s">
        <v>93</v>
      </c>
      <c r="G51" s="87" t="s">
        <v>93</v>
      </c>
      <c r="H51" s="87" t="s">
        <v>93</v>
      </c>
      <c r="I51" s="57" t="s"/>
      <c r="J51" s="44" t="s">
        <v>59</v>
      </c>
      <c r="K51" s="44" t="s">
        <v>59</v>
      </c>
      <c r="L51" s="57" t="s"/>
      <c r="M51" s="57" t="s"/>
      <c r="N51" s="57" t="s"/>
      <c r="O51" s="57" t="s"/>
      <c r="P51" s="57" t="s"/>
      <c r="Q51" s="57" t="s"/>
      <c r="R51" s="57" t="s"/>
      <c r="S51" s="57" t="s"/>
      <c r="T51" s="57" t="s"/>
      <c r="U51" s="57" t="s"/>
      <c r="V51" s="57" t="s"/>
      <c r="W51" s="57" t="s"/>
      <c r="X51" s="57" t="s"/>
      <c r="Y51" s="57" t="s"/>
      <c r="Z51" s="57" t="s"/>
      <c r="AA51" s="57" t="s"/>
    </row>
    <row r="52" spans="1:27">
      <c r="A52" s="52" t="s">
        <v>288</v>
      </c>
      <c r="B52" s="52" t="s"/>
      <c r="C52" s="97" t="s"/>
      <c r="D52" s="37" t="s">
        <v>254</v>
      </c>
      <c r="E52" s="48" t="s">
        <v>255</v>
      </c>
      <c r="F52" s="87" t="s">
        <v>67</v>
      </c>
      <c r="G52" s="87" t="s">
        <v>67</v>
      </c>
      <c r="H52" s="87" t="s">
        <v>67</v>
      </c>
      <c r="I52" s="57" t="s"/>
      <c r="J52" s="73" t="s">
        <v>219</v>
      </c>
      <c r="K52" s="73" t="s">
        <v>219</v>
      </c>
      <c r="L52" s="57" t="s"/>
      <c r="M52" s="57" t="s"/>
      <c r="N52" s="57" t="s"/>
      <c r="O52" s="57" t="s"/>
      <c r="P52" s="57" t="s"/>
      <c r="Q52" s="57" t="s"/>
      <c r="R52" s="57" t="s"/>
      <c r="S52" s="57" t="s"/>
      <c r="T52" s="57" t="s"/>
      <c r="U52" s="57" t="s"/>
      <c r="V52" s="57" t="s"/>
      <c r="W52" s="57" t="s"/>
      <c r="X52" s="57" t="s"/>
      <c r="Y52" s="57" t="s"/>
      <c r="Z52" s="57" t="s"/>
      <c r="AA52" s="57" t="s"/>
    </row>
    <row r="53" spans="1:27">
      <c r="A53" s="49" t="s">
        <v>289</v>
      </c>
      <c r="B53" s="93" t="s"/>
      <c r="C53" s="97" t="s">
        <v>290</v>
      </c>
      <c r="D53" s="37" t="s">
        <v>272</v>
      </c>
      <c r="E53" s="37" t="s">
        <v>273</v>
      </c>
      <c r="F53" s="87" t="s">
        <v>17</v>
      </c>
      <c r="G53" s="87" t="s">
        <v>17</v>
      </c>
      <c r="H53" s="87" t="s">
        <v>17</v>
      </c>
      <c r="I53" s="57" t="s"/>
      <c r="J53" s="44" t="s">
        <v>219</v>
      </c>
      <c r="K53" s="44" t="s">
        <v>219</v>
      </c>
      <c r="L53" s="57" t="s"/>
      <c r="M53" s="57" t="s"/>
      <c r="N53" s="57" t="s"/>
      <c r="O53" s="57" t="s"/>
      <c r="P53" s="57" t="s"/>
      <c r="Q53" s="57" t="s"/>
      <c r="R53" s="57" t="s"/>
      <c r="S53" s="57" t="s"/>
      <c r="T53" s="57" t="s"/>
      <c r="U53" s="57" t="s"/>
      <c r="V53" s="57" t="s"/>
      <c r="W53" s="57" t="s"/>
      <c r="X53" s="57" t="s"/>
      <c r="Y53" s="57" t="s"/>
      <c r="Z53" s="57" t="s"/>
      <c r="AA53" s="57" t="s"/>
    </row>
    <row r="54" spans="1:27">
      <c r="A54" s="52" t="s"/>
      <c r="B54" s="16" t="s"/>
      <c r="C54" s="97" t="s">
        <v>291</v>
      </c>
      <c r="D54" s="37" t="s">
        <v>272</v>
      </c>
      <c r="E54" s="37" t="s">
        <v>273</v>
      </c>
      <c r="F54" s="87" t="s">
        <v>17</v>
      </c>
      <c r="G54" s="87" t="s">
        <v>17</v>
      </c>
      <c r="H54" s="87" t="s">
        <v>17</v>
      </c>
      <c r="I54" s="57" t="s"/>
      <c r="J54" s="44" t="s">
        <v>219</v>
      </c>
      <c r="K54" s="44" t="s">
        <v>219</v>
      </c>
      <c r="L54" s="57" t="s"/>
      <c r="M54" s="57" t="s"/>
      <c r="N54" s="57" t="s"/>
      <c r="O54" s="57" t="s"/>
      <c r="P54" s="57" t="s"/>
      <c r="Q54" s="57" t="s"/>
      <c r="R54" s="57" t="s"/>
      <c r="S54" s="57" t="s"/>
      <c r="T54" s="57" t="s"/>
      <c r="U54" s="57" t="s"/>
      <c r="V54" s="57" t="s"/>
      <c r="W54" s="57" t="s"/>
      <c r="X54" s="57" t="s"/>
      <c r="Y54" s="57" t="s"/>
      <c r="Z54" s="57" t="s"/>
      <c r="AA54" s="57" t="s"/>
    </row>
    <row r="55" spans="1:27">
      <c r="A55" s="52" t="s"/>
      <c r="B55" s="16" t="s"/>
      <c r="C55" s="97" t="s">
        <v>292</v>
      </c>
      <c r="D55" s="37" t="s">
        <v>272</v>
      </c>
      <c r="E55" s="37" t="s">
        <v>273</v>
      </c>
      <c r="F55" s="87" t="s">
        <v>17</v>
      </c>
      <c r="G55" s="87" t="s">
        <v>17</v>
      </c>
      <c r="H55" s="87" t="s">
        <v>17</v>
      </c>
      <c r="I55" s="57" t="s"/>
      <c r="J55" s="44" t="s">
        <v>219</v>
      </c>
      <c r="K55" s="44" t="s">
        <v>219</v>
      </c>
      <c r="L55" s="57" t="s"/>
      <c r="M55" s="57" t="s"/>
      <c r="N55" s="57" t="s"/>
      <c r="O55" s="57" t="s"/>
      <c r="P55" s="57" t="s"/>
      <c r="Q55" s="57" t="s"/>
      <c r="R55" s="57" t="s"/>
      <c r="S55" s="57" t="s"/>
      <c r="T55" s="57" t="s"/>
      <c r="U55" s="57" t="s"/>
      <c r="V55" s="57" t="s"/>
      <c r="W55" s="57" t="s"/>
      <c r="X55" s="57" t="s"/>
      <c r="Y55" s="57" t="s"/>
      <c r="Z55" s="57" t="s"/>
      <c r="AA55" s="57" t="s"/>
    </row>
    <row r="56" spans="1:27">
      <c r="A56" s="52" t="s"/>
      <c r="B56" s="16" t="s"/>
      <c r="C56" s="97" t="s">
        <v>293</v>
      </c>
      <c r="D56" s="37" t="s">
        <v>272</v>
      </c>
      <c r="E56" s="37" t="s">
        <v>273</v>
      </c>
      <c r="F56" s="87" t="s">
        <v>17</v>
      </c>
      <c r="G56" s="87" t="s">
        <v>17</v>
      </c>
      <c r="H56" s="87" t="s">
        <v>17</v>
      </c>
      <c r="I56" s="57" t="s"/>
      <c r="J56" s="44" t="s">
        <v>219</v>
      </c>
      <c r="K56" s="44" t="s">
        <v>219</v>
      </c>
      <c r="L56" s="57" t="s"/>
      <c r="M56" s="57" t="s"/>
      <c r="N56" s="57" t="s"/>
      <c r="O56" s="57" t="s"/>
      <c r="P56" s="57" t="s"/>
      <c r="Q56" s="57" t="s"/>
      <c r="R56" s="57" t="s"/>
      <c r="S56" s="57" t="s"/>
      <c r="T56" s="57" t="s"/>
      <c r="U56" s="57" t="s"/>
      <c r="V56" s="57" t="s"/>
      <c r="W56" s="57" t="s"/>
      <c r="X56" s="57" t="s"/>
      <c r="Y56" s="57" t="s"/>
      <c r="Z56" s="57" t="s"/>
      <c r="AA56" s="57" t="s"/>
    </row>
    <row r="57" spans="1:27">
      <c r="A57" s="52" t="s">
        <v>294</v>
      </c>
      <c r="B57" s="16" t="s"/>
      <c r="C57" s="41" t="s"/>
      <c r="D57" s="37" t="s">
        <v>254</v>
      </c>
      <c r="E57" s="48" t="s">
        <v>255</v>
      </c>
      <c r="F57" s="87" t="s">
        <v>295</v>
      </c>
      <c r="G57" s="87" t="s">
        <v>295</v>
      </c>
      <c r="H57" s="87" t="s">
        <v>295</v>
      </c>
      <c r="I57" s="98" t="s"/>
      <c r="J57" s="44" t="s">
        <v>219</v>
      </c>
      <c r="K57" s="44" t="s">
        <v>219</v>
      </c>
      <c r="L57" s="57" t="s"/>
      <c r="M57" s="57" t="s"/>
      <c r="N57" s="57" t="s"/>
      <c r="O57" s="57" t="s"/>
      <c r="P57" s="57" t="s"/>
      <c r="Q57" s="57" t="s"/>
      <c r="R57" s="57" t="s"/>
      <c r="S57" s="57" t="s"/>
      <c r="T57" s="57" t="s"/>
      <c r="U57" s="57" t="s"/>
      <c r="V57" s="57" t="s"/>
      <c r="W57" s="57" t="s"/>
      <c r="X57" s="57" t="s"/>
      <c r="Y57" s="57" t="s"/>
      <c r="Z57" s="57" t="s"/>
      <c r="AA57" s="57" t="s"/>
    </row>
    <row r="58" spans="1:27">
      <c r="A58" s="99" t="s">
        <v>296</v>
      </c>
      <c r="B58" s="100" t="s"/>
      <c r="C58" s="41" t="s"/>
      <c r="D58" s="37" t="s">
        <v>254</v>
      </c>
      <c r="E58" s="48" t="s">
        <v>255</v>
      </c>
      <c r="F58" s="87" t="s">
        <v>16</v>
      </c>
      <c r="G58" s="87" t="s">
        <v>16</v>
      </c>
      <c r="H58" s="87" t="s">
        <v>16</v>
      </c>
      <c r="I58" s="57" t="s"/>
      <c r="J58" s="73" t="s">
        <v>219</v>
      </c>
      <c r="K58" s="73" t="s">
        <v>219</v>
      </c>
      <c r="L58" s="57" t="s"/>
      <c r="M58" s="57" t="s"/>
      <c r="N58" s="57" t="s"/>
      <c r="O58" s="57" t="s"/>
      <c r="P58" s="57" t="s"/>
      <c r="Q58" s="57" t="s"/>
      <c r="R58" s="57" t="s"/>
      <c r="S58" s="57" t="s"/>
      <c r="T58" s="57" t="s"/>
      <c r="U58" s="57" t="s"/>
      <c r="V58" s="57" t="s"/>
      <c r="W58" s="57" t="s"/>
      <c r="X58" s="57" t="s"/>
      <c r="Y58" s="57" t="s"/>
      <c r="Z58" s="57" t="s"/>
      <c r="AA58" s="57" t="s"/>
    </row>
    <row r="59" spans="1:27" ht="15" thickBot="true">
      <c r="A59" s="101" t="s">
        <v>297</v>
      </c>
      <c r="B59" s="100" t="s"/>
      <c r="C59" s="97" t="s"/>
      <c r="D59" s="37" t="s">
        <v>254</v>
      </c>
      <c r="E59" s="48" t="s">
        <v>255</v>
      </c>
      <c r="F59" s="102" t="s">
        <v>16</v>
      </c>
      <c r="G59" s="102" t="s">
        <v>16</v>
      </c>
      <c r="H59" s="102" t="s">
        <v>16</v>
      </c>
      <c r="I59" s="98" t="s"/>
      <c r="J59" s="44" t="s">
        <v>219</v>
      </c>
      <c r="K59" s="44" t="s">
        <v>219</v>
      </c>
      <c r="L59" s="102" t="s"/>
      <c r="M59" s="102" t="s"/>
      <c r="N59" s="102" t="s"/>
      <c r="O59" s="102" t="s"/>
      <c r="P59" s="102" t="s"/>
      <c r="Q59" s="102" t="s"/>
      <c r="R59" s="102" t="s"/>
      <c r="S59" s="102" t="s"/>
      <c r="T59" s="102" t="s"/>
      <c r="U59" s="102" t="s"/>
      <c r="V59" s="102" t="s"/>
      <c r="W59" s="102" t="s"/>
      <c r="X59" s="102" t="s"/>
      <c r="Y59" s="102" t="s"/>
      <c r="Z59" s="102" t="s"/>
      <c r="AA59" s="102" t="s"/>
    </row>
    <row r="60" spans="1:27" ht="16" thickBot="true">
      <c r="A60" s="80" t="s">
        <v>298</v>
      </c>
      <c r="B60" s="40" t="s"/>
      <c r="C60" s="41" t="s"/>
      <c r="D60" s="37" t="s">
        <v>254</v>
      </c>
      <c r="E60" s="48" t="s">
        <v>255</v>
      </c>
      <c r="F60" s="91" t="s">
        <v>16</v>
      </c>
      <c r="G60" s="91" t="s">
        <v>16</v>
      </c>
      <c r="H60" s="91" t="s">
        <v>16</v>
      </c>
      <c r="I60" s="92" t="s"/>
      <c r="J60" s="73" t="s">
        <v>219</v>
      </c>
      <c r="K60" s="73" t="s">
        <v>219</v>
      </c>
      <c r="L60" s="92" t="s"/>
      <c r="M60" s="92" t="s"/>
      <c r="N60" s="92" t="s"/>
      <c r="O60" s="92" t="s"/>
      <c r="P60" s="92" t="s"/>
      <c r="Q60" s="92" t="s"/>
      <c r="R60" s="92" t="s"/>
      <c r="S60" s="92" t="s"/>
      <c r="T60" s="92" t="s"/>
      <c r="U60" s="92" t="s"/>
      <c r="V60" s="92" t="s"/>
      <c r="W60" s="92" t="s"/>
      <c r="X60" s="92" t="s"/>
      <c r="Y60" s="92" t="s"/>
      <c r="Z60" s="92" t="s"/>
      <c r="AA60" s="92" t="s"/>
    </row>
    <row r="61" spans="1:27">
      <c r="A61" s="103" t="s">
        <v>299</v>
      </c>
      <c r="B61" s="104" t="s"/>
      <c r="C61" s="97" t="s"/>
      <c r="D61" s="37" t="s">
        <v>272</v>
      </c>
      <c r="E61" s="37" t="s">
        <v>273</v>
      </c>
      <c r="F61" s="94" t="s">
        <v>16</v>
      </c>
      <c r="G61" s="94" t="s">
        <v>16</v>
      </c>
      <c r="H61" s="94" t="s">
        <v>16</v>
      </c>
      <c r="I61" s="95" t="s"/>
      <c r="J61" s="44" t="s">
        <v>219</v>
      </c>
      <c r="K61" s="44" t="s">
        <v>219</v>
      </c>
      <c r="L61" s="95" t="s"/>
      <c r="M61" s="95" t="s"/>
      <c r="N61" s="95" t="s"/>
      <c r="O61" s="95" t="s"/>
      <c r="P61" s="95" t="s"/>
      <c r="Q61" s="95" t="s"/>
      <c r="R61" s="95" t="s"/>
      <c r="S61" s="95" t="s"/>
      <c r="T61" s="95" t="s"/>
      <c r="U61" s="95" t="s"/>
      <c r="V61" s="95" t="s"/>
      <c r="W61" s="95" t="s"/>
      <c r="X61" s="95" t="s"/>
      <c r="Y61" s="95" t="s"/>
      <c r="Z61" s="95" t="s"/>
      <c r="AA61" s="95" t="s"/>
    </row>
    <row r="62" spans="1:27">
      <c r="A62" s="66" t="s">
        <v>300</v>
      </c>
      <c r="B62" s="67" t="s"/>
      <c r="C62" s="97" t="s"/>
      <c r="D62" s="37" t="s">
        <v>272</v>
      </c>
      <c r="E62" s="37" t="s">
        <v>273</v>
      </c>
      <c r="F62" s="87" t="s">
        <v>18</v>
      </c>
      <c r="G62" s="87" t="s">
        <v>18</v>
      </c>
      <c r="H62" s="87" t="s">
        <v>18</v>
      </c>
      <c r="I62" s="57" t="s"/>
      <c r="J62" s="44" t="s">
        <v>219</v>
      </c>
      <c r="K62" s="44" t="s">
        <v>219</v>
      </c>
      <c r="L62" s="57" t="s"/>
      <c r="M62" s="57" t="s"/>
      <c r="N62" s="57" t="s"/>
      <c r="O62" s="57" t="s"/>
      <c r="P62" s="57" t="s"/>
      <c r="Q62" s="57" t="s"/>
      <c r="R62" s="57" t="s"/>
      <c r="S62" s="57" t="s"/>
      <c r="T62" s="57" t="s"/>
      <c r="U62" s="57" t="s"/>
      <c r="V62" s="57" t="s"/>
      <c r="W62" s="57" t="s"/>
      <c r="X62" s="57" t="s"/>
      <c r="Y62" s="57" t="s"/>
      <c r="Z62" s="57" t="s"/>
      <c r="AA62" s="57" t="s"/>
    </row>
    <row r="63" spans="1:27">
      <c r="A63" s="84" t="s">
        <v>301</v>
      </c>
      <c r="B63" s="85" t="s"/>
      <c r="C63" s="61" t="s"/>
      <c r="D63" s="17" t="s"/>
      <c r="E63" s="17" t="s"/>
      <c r="F63" s="86" t="s"/>
      <c r="G63" s="86" t="s"/>
      <c r="H63" s="86" t="s"/>
      <c r="I63" s="86" t="s"/>
      <c r="J63" s="44" t="s"/>
      <c r="K63" s="44" t="s"/>
      <c r="L63" s="86" t="s"/>
      <c r="M63" s="86" t="s"/>
      <c r="N63" s="86" t="s"/>
      <c r="O63" s="86" t="s"/>
      <c r="P63" s="86" t="s"/>
      <c r="Q63" s="86" t="s"/>
      <c r="R63" s="86" t="s"/>
      <c r="S63" s="86" t="s"/>
      <c r="T63" s="86" t="s"/>
      <c r="U63" s="86" t="s"/>
      <c r="V63" s="86" t="s"/>
      <c r="W63" s="86" t="s"/>
      <c r="X63" s="86" t="s"/>
      <c r="Y63" s="86" t="s"/>
      <c r="Z63" s="86" t="s"/>
      <c r="AA63" s="86" t="s"/>
    </row>
    <row r="64" spans="1:27">
      <c r="A64" s="66" t="s">
        <v>302</v>
      </c>
      <c r="B64" s="67" t="s"/>
      <c r="C64" s="97">
        <v>850</v>
      </c>
      <c r="D64" s="37" t="s">
        <v>254</v>
      </c>
      <c r="E64" s="48" t="s">
        <v>255</v>
      </c>
      <c r="F64" s="87" t="s">
        <v>17</v>
      </c>
      <c r="G64" s="87" t="s">
        <v>17</v>
      </c>
      <c r="H64" s="87" t="s">
        <v>17</v>
      </c>
      <c r="I64" s="57" t="s"/>
      <c r="J64" s="73" t="s">
        <v>219</v>
      </c>
      <c r="K64" s="73" t="s">
        <v>219</v>
      </c>
      <c r="L64" s="57" t="s"/>
      <c r="M64" s="57" t="s"/>
      <c r="N64" s="57" t="s"/>
      <c r="O64" s="57" t="s"/>
      <c r="P64" s="57" t="s"/>
      <c r="Q64" s="57" t="s"/>
      <c r="R64" s="57" t="s"/>
      <c r="S64" s="57" t="s"/>
      <c r="T64" s="57" t="s"/>
      <c r="U64" s="57" t="s"/>
      <c r="V64" s="57" t="s"/>
      <c r="W64" s="57" t="s"/>
      <c r="X64" s="57" t="s"/>
      <c r="Y64" s="57" t="s"/>
      <c r="Z64" s="57" t="s"/>
      <c r="AA64" s="57" t="s"/>
    </row>
    <row r="65" spans="1:27">
      <c r="A65" s="52" t="s"/>
      <c r="B65" s="16" t="s"/>
      <c r="C65" s="97">
        <v>900</v>
      </c>
      <c r="D65" s="37" t="s">
        <v>254</v>
      </c>
      <c r="E65" s="48" t="s">
        <v>255</v>
      </c>
      <c r="F65" s="87" t="s">
        <v>17</v>
      </c>
      <c r="G65" s="87" t="s">
        <v>17</v>
      </c>
      <c r="H65" s="87" t="s">
        <v>17</v>
      </c>
      <c r="I65" s="57" t="s"/>
      <c r="J65" s="73" t="s">
        <v>219</v>
      </c>
      <c r="K65" s="73" t="s">
        <v>219</v>
      </c>
      <c r="L65" s="57" t="s"/>
      <c r="M65" s="57" t="s"/>
      <c r="N65" s="57" t="s"/>
      <c r="O65" s="57" t="s"/>
      <c r="P65" s="57" t="s"/>
      <c r="Q65" s="57" t="s"/>
      <c r="R65" s="57" t="s"/>
      <c r="S65" s="57" t="s"/>
      <c r="T65" s="57" t="s"/>
      <c r="U65" s="57" t="s"/>
      <c r="V65" s="57" t="s"/>
      <c r="W65" s="57" t="s"/>
      <c r="X65" s="57" t="s"/>
      <c r="Y65" s="57" t="s"/>
      <c r="Z65" s="57" t="s"/>
      <c r="AA65" s="57" t="s"/>
    </row>
    <row r="66" spans="1:27">
      <c r="A66" s="52" t="s"/>
      <c r="B66" s="16" t="s"/>
      <c r="C66" s="97">
        <v>1800</v>
      </c>
      <c r="D66" s="37" t="s">
        <v>254</v>
      </c>
      <c r="E66" s="48" t="s">
        <v>255</v>
      </c>
      <c r="F66" s="87" t="s">
        <v>17</v>
      </c>
      <c r="G66" s="87" t="s">
        <v>17</v>
      </c>
      <c r="H66" s="87" t="s">
        <v>17</v>
      </c>
      <c r="I66" s="57" t="s"/>
      <c r="J66" s="73" t="s">
        <v>219</v>
      </c>
      <c r="K66" s="73" t="s">
        <v>219</v>
      </c>
      <c r="L66" s="57" t="s"/>
      <c r="M66" s="57" t="s"/>
      <c r="N66" s="57" t="s"/>
      <c r="O66" s="57" t="s"/>
      <c r="P66" s="57" t="s"/>
      <c r="Q66" s="57" t="s"/>
      <c r="R66" s="57" t="s"/>
      <c r="S66" s="57" t="s"/>
      <c r="T66" s="57" t="s"/>
      <c r="U66" s="57" t="s"/>
      <c r="V66" s="57" t="s"/>
      <c r="W66" s="57" t="s"/>
      <c r="X66" s="57" t="s"/>
      <c r="Y66" s="57" t="s"/>
      <c r="Z66" s="57" t="s"/>
      <c r="AA66" s="57" t="s"/>
    </row>
    <row r="67" spans="1:27">
      <c r="A67" s="52" t="s"/>
      <c r="B67" s="16" t="s"/>
      <c r="C67" s="97">
        <v>1900</v>
      </c>
      <c r="D67" s="37" t="s">
        <v>254</v>
      </c>
      <c r="E67" s="48" t="s">
        <v>255</v>
      </c>
      <c r="F67" s="87" t="s">
        <v>17</v>
      </c>
      <c r="G67" s="87" t="s">
        <v>17</v>
      </c>
      <c r="H67" s="87" t="s">
        <v>17</v>
      </c>
      <c r="I67" s="57" t="s"/>
      <c r="J67" s="73" t="s">
        <v>219</v>
      </c>
      <c r="K67" s="73" t="s">
        <v>219</v>
      </c>
      <c r="L67" s="57" t="s"/>
      <c r="M67" s="57" t="s"/>
      <c r="N67" s="57" t="s"/>
      <c r="O67" s="57" t="s"/>
      <c r="P67" s="57" t="s"/>
      <c r="Q67" s="57" t="s"/>
      <c r="R67" s="57" t="s"/>
      <c r="S67" s="57" t="s"/>
      <c r="T67" s="57" t="s"/>
      <c r="U67" s="57" t="s"/>
      <c r="V67" s="57" t="s"/>
      <c r="W67" s="57" t="s"/>
      <c r="X67" s="57" t="s"/>
      <c r="Y67" s="57" t="s"/>
      <c r="Z67" s="57" t="s"/>
      <c r="AA67" s="57" t="s"/>
    </row>
    <row r="68" spans="1:27">
      <c r="A68" s="66" t="s">
        <v>303</v>
      </c>
      <c r="B68" s="67" t="s"/>
      <c r="C68" s="97" t="s"/>
      <c r="D68" s="37" t="s">
        <v>254</v>
      </c>
      <c r="E68" s="48" t="s">
        <v>255</v>
      </c>
      <c r="F68" s="87" t="s">
        <v>17</v>
      </c>
      <c r="G68" s="87" t="s">
        <v>17</v>
      </c>
      <c r="H68" s="87" t="s">
        <v>17</v>
      </c>
      <c r="I68" s="57" t="s"/>
      <c r="J68" s="73" t="s">
        <v>219</v>
      </c>
      <c r="K68" s="73" t="s">
        <v>219</v>
      </c>
      <c r="L68" s="57" t="s"/>
      <c r="M68" s="57" t="s"/>
      <c r="N68" s="57" t="s"/>
      <c r="O68" s="57" t="s"/>
      <c r="P68" s="57" t="s"/>
      <c r="Q68" s="57" t="s"/>
      <c r="R68" s="57" t="s"/>
      <c r="S68" s="57" t="s"/>
      <c r="T68" s="57" t="s"/>
      <c r="U68" s="57" t="s"/>
      <c r="V68" s="57" t="s"/>
      <c r="W68" s="57" t="s"/>
      <c r="X68" s="57" t="s"/>
      <c r="Y68" s="57" t="s"/>
      <c r="Z68" s="57" t="s"/>
      <c r="AA68" s="57" t="s"/>
    </row>
    <row r="69" spans="1:27">
      <c r="A69" s="66" t="s">
        <v>304</v>
      </c>
      <c r="B69" s="67" t="s"/>
      <c r="C69" s="97" t="s">
        <v>305</v>
      </c>
      <c r="D69" s="37" t="s">
        <v>254</v>
      </c>
      <c r="E69" s="48" t="s">
        <v>255</v>
      </c>
      <c r="F69" s="87" t="s">
        <v>17</v>
      </c>
      <c r="G69" s="87" t="s">
        <v>17</v>
      </c>
      <c r="H69" s="87" t="s">
        <v>17</v>
      </c>
      <c r="I69" s="57" t="s"/>
      <c r="J69" s="73" t="s">
        <v>219</v>
      </c>
      <c r="K69" s="73" t="s">
        <v>219</v>
      </c>
      <c r="L69" s="57" t="s"/>
      <c r="M69" s="57" t="s"/>
      <c r="N69" s="57" t="s"/>
      <c r="O69" s="57" t="s"/>
      <c r="P69" s="57" t="s"/>
      <c r="Q69" s="57" t="s"/>
      <c r="R69" s="57" t="s"/>
      <c r="S69" s="57" t="s"/>
      <c r="T69" s="57" t="s"/>
      <c r="U69" s="57" t="s"/>
      <c r="V69" s="57" t="s"/>
      <c r="W69" s="57" t="s"/>
      <c r="X69" s="57" t="s"/>
      <c r="Y69" s="57" t="s"/>
      <c r="Z69" s="57" t="s"/>
      <c r="AA69" s="57" t="s"/>
    </row>
    <row r="70" spans="1:27">
      <c r="A70" s="52" t="s"/>
      <c r="B70" s="16" t="s"/>
      <c r="C70" s="97" t="s">
        <v>306</v>
      </c>
      <c r="D70" s="37" t="s">
        <v>254</v>
      </c>
      <c r="E70" s="48" t="s">
        <v>255</v>
      </c>
      <c r="F70" s="87" t="s">
        <v>17</v>
      </c>
      <c r="G70" s="87" t="s">
        <v>17</v>
      </c>
      <c r="H70" s="87" t="s">
        <v>17</v>
      </c>
      <c r="I70" s="57" t="s"/>
      <c r="J70" s="73" t="s">
        <v>219</v>
      </c>
      <c r="K70" s="73" t="s">
        <v>219</v>
      </c>
      <c r="L70" s="57" t="s"/>
      <c r="M70" s="57" t="s"/>
      <c r="N70" s="57" t="s"/>
      <c r="O70" s="57" t="s"/>
      <c r="P70" s="57" t="s"/>
      <c r="Q70" s="57" t="s"/>
      <c r="R70" s="57" t="s"/>
      <c r="S70" s="57" t="s"/>
      <c r="T70" s="57" t="s"/>
      <c r="U70" s="57" t="s"/>
      <c r="V70" s="57" t="s"/>
      <c r="W70" s="57" t="s"/>
      <c r="X70" s="57" t="s"/>
      <c r="Y70" s="57" t="s"/>
      <c r="Z70" s="57" t="s"/>
      <c r="AA70" s="57" t="s"/>
    </row>
    <row r="71" spans="1:27">
      <c r="A71" s="52" t="s"/>
      <c r="B71" s="16" t="s"/>
      <c r="C71" s="105" t="s">
        <v>307</v>
      </c>
      <c r="D71" s="37" t="s">
        <v>254</v>
      </c>
      <c r="E71" s="48" t="s">
        <v>255</v>
      </c>
      <c r="F71" s="87" t="s">
        <v>17</v>
      </c>
      <c r="G71" s="87" t="s">
        <v>17</v>
      </c>
      <c r="H71" s="87" t="s">
        <v>17</v>
      </c>
      <c r="I71" s="57" t="s"/>
      <c r="J71" s="73" t="s">
        <v>219</v>
      </c>
      <c r="K71" s="73" t="s">
        <v>219</v>
      </c>
      <c r="L71" s="57" t="s"/>
      <c r="M71" s="57" t="s"/>
      <c r="N71" s="57" t="s"/>
      <c r="O71" s="57" t="s"/>
      <c r="P71" s="57" t="s"/>
      <c r="Q71" s="57" t="s"/>
      <c r="R71" s="57" t="s"/>
      <c r="S71" s="57" t="s"/>
      <c r="T71" s="57" t="s"/>
      <c r="U71" s="57" t="s"/>
      <c r="V71" s="57" t="s"/>
      <c r="W71" s="57" t="s"/>
      <c r="X71" s="57" t="s"/>
      <c r="Y71" s="57" t="s"/>
      <c r="Z71" s="57" t="s"/>
      <c r="AA71" s="57" t="s"/>
    </row>
    <row r="72" spans="1:27">
      <c r="A72" s="52" t="s"/>
      <c r="B72" s="16" t="s"/>
      <c r="C72" s="97" t="s">
        <v>308</v>
      </c>
      <c r="D72" s="37" t="s">
        <v>254</v>
      </c>
      <c r="E72" s="48" t="s">
        <v>255</v>
      </c>
      <c r="F72" s="87" t="s">
        <v>17</v>
      </c>
      <c r="G72" s="87" t="s">
        <v>17</v>
      </c>
      <c r="H72" s="87" t="s">
        <v>17</v>
      </c>
      <c r="I72" s="57" t="s"/>
      <c r="J72" s="73" t="s">
        <v>219</v>
      </c>
      <c r="K72" s="73" t="s">
        <v>219</v>
      </c>
      <c r="L72" s="57" t="s"/>
      <c r="M72" s="57" t="s"/>
      <c r="N72" s="57" t="s"/>
      <c r="O72" s="57" t="s"/>
      <c r="P72" s="57" t="s"/>
      <c r="Q72" s="57" t="s"/>
      <c r="R72" s="57" t="s"/>
      <c r="S72" s="57" t="s"/>
      <c r="T72" s="57" t="s"/>
      <c r="U72" s="57" t="s"/>
      <c r="V72" s="57" t="s"/>
      <c r="W72" s="57" t="s"/>
      <c r="X72" s="57" t="s"/>
      <c r="Y72" s="57" t="s"/>
      <c r="Z72" s="57" t="s"/>
      <c r="AA72" s="57" t="s"/>
    </row>
    <row r="73" spans="1:27">
      <c r="A73" s="99" t="s"/>
      <c r="B73" s="100" t="s"/>
      <c r="C73" s="97" t="s">
        <v>309</v>
      </c>
      <c r="D73" s="37" t="s">
        <v>254</v>
      </c>
      <c r="E73" s="48" t="s">
        <v>255</v>
      </c>
      <c r="F73" s="87" t="s">
        <v>17</v>
      </c>
      <c r="G73" s="87" t="s">
        <v>17</v>
      </c>
      <c r="H73" s="87" t="s">
        <v>17</v>
      </c>
      <c r="I73" s="57" t="s"/>
      <c r="J73" s="73" t="s">
        <v>219</v>
      </c>
      <c r="K73" s="73" t="s">
        <v>219</v>
      </c>
      <c r="L73" s="57" t="s"/>
      <c r="M73" s="57" t="s"/>
      <c r="N73" s="57" t="s"/>
      <c r="O73" s="57" t="s"/>
      <c r="P73" s="57" t="s"/>
      <c r="Q73" s="57" t="s"/>
      <c r="R73" s="57" t="s"/>
      <c r="S73" s="57" t="s"/>
      <c r="T73" s="57" t="s"/>
      <c r="U73" s="57" t="s"/>
      <c r="V73" s="57" t="s"/>
      <c r="W73" s="57" t="s"/>
      <c r="X73" s="57" t="s"/>
      <c r="Y73" s="57" t="s"/>
      <c r="Z73" s="57" t="s"/>
      <c r="AA73" s="57" t="s"/>
    </row>
    <row r="74" spans="1:27">
      <c r="A74" s="52" t="s">
        <v>310</v>
      </c>
      <c r="B74" s="16" t="s"/>
      <c r="C74" s="97" t="s">
        <v>311</v>
      </c>
      <c r="D74" s="37" t="s">
        <v>254</v>
      </c>
      <c r="E74" s="48" t="s">
        <v>255</v>
      </c>
      <c r="F74" s="87" t="s">
        <v>17</v>
      </c>
      <c r="G74" s="87" t="s">
        <v>17</v>
      </c>
      <c r="H74" s="87" t="s">
        <v>17</v>
      </c>
      <c r="I74" s="57" t="s"/>
      <c r="J74" s="73" t="s">
        <v>219</v>
      </c>
      <c r="K74" s="73" t="s">
        <v>219</v>
      </c>
      <c r="L74" s="57" t="s"/>
      <c r="M74" s="57" t="s"/>
      <c r="N74" s="57" t="s"/>
      <c r="O74" s="57" t="s"/>
      <c r="P74" s="57" t="s"/>
      <c r="Q74" s="57" t="s"/>
      <c r="R74" s="57" t="s"/>
      <c r="S74" s="57" t="s"/>
      <c r="T74" s="57" t="s"/>
      <c r="U74" s="57" t="s"/>
      <c r="V74" s="57" t="s"/>
      <c r="W74" s="57" t="s"/>
      <c r="X74" s="57" t="s"/>
      <c r="Y74" s="57" t="s"/>
      <c r="Z74" s="57" t="s"/>
      <c r="AA74" s="57" t="s"/>
    </row>
    <row r="75" spans="1:27">
      <c r="A75" s="52" t="s"/>
      <c r="B75" s="16" t="s"/>
      <c r="C75" s="97" t="s">
        <v>312</v>
      </c>
      <c r="D75" s="37" t="s">
        <v>254</v>
      </c>
      <c r="E75" s="48" t="s">
        <v>255</v>
      </c>
      <c r="F75" s="87" t="s">
        <v>17</v>
      </c>
      <c r="G75" s="87" t="s">
        <v>17</v>
      </c>
      <c r="H75" s="87" t="s">
        <v>17</v>
      </c>
      <c r="I75" s="57" t="s"/>
      <c r="J75" s="73" t="s">
        <v>219</v>
      </c>
      <c r="K75" s="73" t="s">
        <v>219</v>
      </c>
      <c r="L75" s="57" t="s"/>
      <c r="M75" s="57" t="s"/>
      <c r="N75" s="57" t="s"/>
      <c r="O75" s="57" t="s"/>
      <c r="P75" s="57" t="s"/>
      <c r="Q75" s="57" t="s"/>
      <c r="R75" s="57" t="s"/>
      <c r="S75" s="57" t="s"/>
      <c r="T75" s="57" t="s"/>
      <c r="U75" s="57" t="s"/>
      <c r="V75" s="57" t="s"/>
      <c r="W75" s="57" t="s"/>
      <c r="X75" s="57" t="s"/>
      <c r="Y75" s="57" t="s"/>
      <c r="Z75" s="57" t="s"/>
      <c r="AA75" s="57" t="s"/>
    </row>
    <row r="76" spans="1:27">
      <c r="A76" s="52" t="s"/>
      <c r="B76" s="16" t="s"/>
      <c r="C76" s="97" t="s">
        <v>313</v>
      </c>
      <c r="D76" s="37" t="s">
        <v>254</v>
      </c>
      <c r="E76" s="48" t="s">
        <v>255</v>
      </c>
      <c r="F76" s="87" t="s">
        <v>17</v>
      </c>
      <c r="G76" s="87" t="s">
        <v>17</v>
      </c>
      <c r="H76" s="87" t="s">
        <v>17</v>
      </c>
      <c r="I76" s="57" t="s"/>
      <c r="J76" s="73" t="s">
        <v>219</v>
      </c>
      <c r="K76" s="73" t="s">
        <v>219</v>
      </c>
      <c r="L76" s="57" t="s"/>
      <c r="M76" s="57" t="s"/>
      <c r="N76" s="57" t="s"/>
      <c r="O76" s="57" t="s"/>
      <c r="P76" s="57" t="s"/>
      <c r="Q76" s="57" t="s"/>
      <c r="R76" s="57" t="s"/>
      <c r="S76" s="57" t="s"/>
      <c r="T76" s="57" t="s"/>
      <c r="U76" s="57" t="s"/>
      <c r="V76" s="57" t="s"/>
      <c r="W76" s="57" t="s"/>
      <c r="X76" s="57" t="s"/>
      <c r="Y76" s="57" t="s"/>
      <c r="Z76" s="57" t="s"/>
      <c r="AA76" s="57" t="s"/>
    </row>
    <row r="77" spans="1:27">
      <c r="A77" s="52" t="s"/>
      <c r="B77" s="16" t="s"/>
      <c r="C77" s="97" t="s">
        <v>314</v>
      </c>
      <c r="D77" s="37" t="s">
        <v>254</v>
      </c>
      <c r="E77" s="48" t="s">
        <v>255</v>
      </c>
      <c r="F77" s="87" t="s">
        <v>16</v>
      </c>
      <c r="G77" s="87" t="s">
        <v>17</v>
      </c>
      <c r="H77" s="87" t="s">
        <v>17</v>
      </c>
      <c r="I77" s="57" t="s"/>
      <c r="J77" s="73" t="s">
        <v>219</v>
      </c>
      <c r="K77" s="73" t="s">
        <v>219</v>
      </c>
      <c r="L77" s="57" t="s"/>
      <c r="M77" s="57" t="s"/>
      <c r="N77" s="57" t="s"/>
      <c r="O77" s="57" t="s"/>
      <c r="P77" s="57" t="s"/>
      <c r="Q77" s="57" t="s"/>
      <c r="R77" s="57" t="s"/>
      <c r="S77" s="57" t="s"/>
      <c r="T77" s="57" t="s"/>
      <c r="U77" s="57" t="s"/>
      <c r="V77" s="57" t="s"/>
      <c r="W77" s="57" t="s"/>
      <c r="X77" s="57" t="s"/>
      <c r="Y77" s="57" t="s"/>
      <c r="Z77" s="57" t="s"/>
      <c r="AA77" s="57" t="s"/>
    </row>
    <row r="78" spans="1:27">
      <c r="A78" s="52" t="s"/>
      <c r="B78" s="16" t="s"/>
      <c r="C78" s="97" t="s">
        <v>315</v>
      </c>
      <c r="D78" s="37" t="s">
        <v>254</v>
      </c>
      <c r="E78" s="48" t="s">
        <v>255</v>
      </c>
      <c r="F78" s="87" t="s">
        <v>17</v>
      </c>
      <c r="G78" s="87" t="s">
        <v>17</v>
      </c>
      <c r="H78" s="87" t="s">
        <v>17</v>
      </c>
      <c r="I78" s="57" t="s"/>
      <c r="J78" s="73" t="s">
        <v>219</v>
      </c>
      <c r="K78" s="73" t="s">
        <v>219</v>
      </c>
      <c r="L78" s="57" t="s"/>
      <c r="M78" s="57" t="s"/>
      <c r="N78" s="57" t="s"/>
      <c r="O78" s="57" t="s"/>
      <c r="P78" s="57" t="s"/>
      <c r="Q78" s="57" t="s"/>
      <c r="R78" s="57" t="s"/>
      <c r="S78" s="57" t="s"/>
      <c r="T78" s="57" t="s"/>
      <c r="U78" s="57" t="s"/>
      <c r="V78" s="57" t="s"/>
      <c r="W78" s="57" t="s"/>
      <c r="X78" s="57" t="s"/>
      <c r="Y78" s="57" t="s"/>
      <c r="Z78" s="57" t="s"/>
      <c r="AA78" s="57" t="s"/>
    </row>
    <row r="79" spans="1:27">
      <c r="A79" s="52" t="s"/>
      <c r="B79" s="16" t="s"/>
      <c r="C79" s="97" t="s">
        <v>316</v>
      </c>
      <c r="D79" s="37" t="s">
        <v>254</v>
      </c>
      <c r="E79" s="48" t="s">
        <v>255</v>
      </c>
      <c r="F79" s="87" t="s">
        <v>17</v>
      </c>
      <c r="G79" s="87" t="s">
        <v>17</v>
      </c>
      <c r="H79" s="87" t="s">
        <v>17</v>
      </c>
      <c r="I79" s="57" t="s"/>
      <c r="J79" s="73" t="s">
        <v>219</v>
      </c>
      <c r="K79" s="73" t="s">
        <v>219</v>
      </c>
      <c r="L79" s="57" t="s"/>
      <c r="M79" s="57" t="s"/>
      <c r="N79" s="57" t="s"/>
      <c r="O79" s="57" t="s"/>
      <c r="P79" s="57" t="s"/>
      <c r="Q79" s="57" t="s"/>
      <c r="R79" s="57" t="s"/>
      <c r="S79" s="57" t="s"/>
      <c r="T79" s="57" t="s"/>
      <c r="U79" s="57" t="s"/>
      <c r="V79" s="57" t="s"/>
      <c r="W79" s="57" t="s"/>
      <c r="X79" s="57" t="s"/>
      <c r="Y79" s="57" t="s"/>
      <c r="Z79" s="57" t="s"/>
      <c r="AA79" s="57" t="s"/>
    </row>
    <row r="80" spans="1:27">
      <c r="A80" s="52" t="s"/>
      <c r="B80" s="16" t="s"/>
      <c r="C80" s="97" t="s">
        <v>317</v>
      </c>
      <c r="D80" s="37" t="s">
        <v>254</v>
      </c>
      <c r="E80" s="48" t="s">
        <v>255</v>
      </c>
      <c r="F80" s="87" t="s">
        <v>17</v>
      </c>
      <c r="G80" s="87" t="s">
        <v>17</v>
      </c>
      <c r="H80" s="87" t="s">
        <v>17</v>
      </c>
      <c r="I80" s="57" t="s"/>
      <c r="J80" s="73" t="s">
        <v>219</v>
      </c>
      <c r="K80" s="73" t="s">
        <v>219</v>
      </c>
      <c r="L80" s="57" t="s"/>
      <c r="M80" s="57" t="s"/>
      <c r="N80" s="57" t="s"/>
      <c r="O80" s="57" t="s"/>
      <c r="P80" s="57" t="s"/>
      <c r="Q80" s="57" t="s"/>
      <c r="R80" s="57" t="s"/>
      <c r="S80" s="57" t="s"/>
      <c r="T80" s="57" t="s"/>
      <c r="U80" s="57" t="s"/>
      <c r="V80" s="57" t="s"/>
      <c r="W80" s="57" t="s"/>
      <c r="X80" s="57" t="s"/>
      <c r="Y80" s="57" t="s"/>
      <c r="Z80" s="57" t="s"/>
      <c r="AA80" s="57" t="s"/>
    </row>
    <row r="81" spans="1:27">
      <c r="A81" s="52" t="s"/>
      <c r="B81" s="16" t="s"/>
      <c r="C81" s="97" t="s">
        <v>318</v>
      </c>
      <c r="D81" s="37" t="s">
        <v>254</v>
      </c>
      <c r="E81" s="48" t="s">
        <v>255</v>
      </c>
      <c r="F81" s="87" t="s">
        <v>16</v>
      </c>
      <c r="G81" s="87" t="s">
        <v>17</v>
      </c>
      <c r="H81" s="87" t="s">
        <v>17</v>
      </c>
      <c r="I81" s="57" t="s"/>
      <c r="J81" s="73" t="s">
        <v>219</v>
      </c>
      <c r="K81" s="73" t="s">
        <v>219</v>
      </c>
      <c r="L81" s="57" t="s"/>
      <c r="M81" s="57" t="s"/>
      <c r="N81" s="57" t="s"/>
      <c r="O81" s="57" t="s"/>
      <c r="P81" s="57" t="s"/>
      <c r="Q81" s="57" t="s"/>
      <c r="R81" s="57" t="s"/>
      <c r="S81" s="57" t="s"/>
      <c r="T81" s="57" t="s"/>
      <c r="U81" s="57" t="s"/>
      <c r="V81" s="57" t="s"/>
      <c r="W81" s="57" t="s"/>
      <c r="X81" s="57" t="s"/>
      <c r="Y81" s="57" t="s"/>
      <c r="Z81" s="57" t="s"/>
      <c r="AA81" s="57" t="s"/>
    </row>
    <row r="82" spans="1:27">
      <c r="A82" s="52" t="s"/>
      <c r="B82" s="16" t="s"/>
      <c r="C82" s="97" t="s">
        <v>319</v>
      </c>
      <c r="D82" s="37" t="s">
        <v>254</v>
      </c>
      <c r="E82" s="48" t="s">
        <v>255</v>
      </c>
      <c r="F82" s="87" t="s">
        <v>16</v>
      </c>
      <c r="G82" s="87" t="s">
        <v>17</v>
      </c>
      <c r="H82" s="87" t="s">
        <v>17</v>
      </c>
      <c r="I82" s="57" t="s"/>
      <c r="J82" s="73" t="s">
        <v>219</v>
      </c>
      <c r="K82" s="73" t="s">
        <v>219</v>
      </c>
      <c r="L82" s="57" t="s"/>
      <c r="M82" s="57" t="s"/>
      <c r="N82" s="57" t="s"/>
      <c r="O82" s="57" t="s"/>
      <c r="P82" s="57" t="s"/>
      <c r="Q82" s="57" t="s"/>
      <c r="R82" s="57" t="s"/>
      <c r="S82" s="57" t="s"/>
      <c r="T82" s="57" t="s"/>
      <c r="U82" s="57" t="s"/>
      <c r="V82" s="57" t="s"/>
      <c r="W82" s="57" t="s"/>
      <c r="X82" s="57" t="s"/>
      <c r="Y82" s="57" t="s"/>
      <c r="Z82" s="57" t="s"/>
      <c r="AA82" s="57" t="s"/>
    </row>
    <row r="83" spans="1:27">
      <c r="A83" s="52" t="s"/>
      <c r="B83" s="16" t="s"/>
      <c r="C83" s="97" t="s">
        <v>320</v>
      </c>
      <c r="D83" s="37" t="s">
        <v>254</v>
      </c>
      <c r="E83" s="48" t="s">
        <v>255</v>
      </c>
      <c r="F83" s="87" t="s">
        <v>16</v>
      </c>
      <c r="G83" s="87" t="s">
        <v>16</v>
      </c>
      <c r="H83" s="87" t="s">
        <v>16</v>
      </c>
      <c r="I83" s="57" t="s"/>
      <c r="J83" s="73" t="s">
        <v>219</v>
      </c>
      <c r="K83" s="73" t="s">
        <v>219</v>
      </c>
      <c r="L83" s="57" t="s"/>
      <c r="M83" s="57" t="s"/>
      <c r="N83" s="57" t="s"/>
      <c r="O83" s="57" t="s"/>
      <c r="P83" s="57" t="s"/>
      <c r="Q83" s="57" t="s"/>
      <c r="R83" s="57" t="s"/>
      <c r="S83" s="57" t="s"/>
      <c r="T83" s="57" t="s"/>
      <c r="U83" s="57" t="s"/>
      <c r="V83" s="57" t="s"/>
      <c r="W83" s="57" t="s"/>
      <c r="X83" s="57" t="s"/>
      <c r="Y83" s="57" t="s"/>
      <c r="Z83" s="57" t="s"/>
      <c r="AA83" s="57" t="s"/>
    </row>
    <row r="84" spans="1:27">
      <c r="A84" s="52" t="s"/>
      <c r="B84" s="16" t="s"/>
      <c r="C84" s="97" t="s">
        <v>321</v>
      </c>
      <c r="D84" s="37" t="s">
        <v>254</v>
      </c>
      <c r="E84" s="48" t="s">
        <v>255</v>
      </c>
      <c r="F84" s="87" t="s">
        <v>16</v>
      </c>
      <c r="G84" s="106" t="s">
        <v>17</v>
      </c>
      <c r="H84" s="106" t="s">
        <v>17</v>
      </c>
      <c r="I84" s="57" t="s"/>
      <c r="J84" s="73" t="s">
        <v>219</v>
      </c>
      <c r="K84" s="73" t="s">
        <v>219</v>
      </c>
      <c r="L84" s="57" t="s"/>
      <c r="M84" s="57" t="s"/>
      <c r="N84" s="57" t="s"/>
      <c r="O84" s="57" t="s"/>
      <c r="P84" s="57" t="s"/>
      <c r="Q84" s="57" t="s"/>
      <c r="R84" s="57" t="s"/>
      <c r="S84" s="57" t="s"/>
      <c r="T84" s="57" t="s"/>
      <c r="U84" s="57" t="s"/>
      <c r="V84" s="57" t="s"/>
      <c r="W84" s="57" t="s"/>
      <c r="X84" s="57" t="s"/>
      <c r="Y84" s="57" t="s"/>
      <c r="Z84" s="57" t="s"/>
      <c r="AA84" s="57" t="s"/>
    </row>
    <row r="85" spans="1:27">
      <c r="A85" s="52" t="s"/>
      <c r="B85" s="16" t="s"/>
      <c r="C85" s="97" t="s">
        <v>322</v>
      </c>
      <c r="D85" s="37" t="s">
        <v>254</v>
      </c>
      <c r="E85" s="48" t="s">
        <v>255</v>
      </c>
      <c r="F85" s="87" t="s">
        <v>17</v>
      </c>
      <c r="G85" s="106" t="s">
        <v>17</v>
      </c>
      <c r="H85" s="106" t="s">
        <v>17</v>
      </c>
      <c r="I85" s="57" t="s"/>
      <c r="J85" s="73" t="s">
        <v>219</v>
      </c>
      <c r="K85" s="73" t="s">
        <v>219</v>
      </c>
      <c r="L85" s="57" t="s"/>
      <c r="M85" s="57" t="s"/>
      <c r="N85" s="57" t="s"/>
      <c r="O85" s="57" t="s"/>
      <c r="P85" s="57" t="s"/>
      <c r="Q85" s="57" t="s"/>
      <c r="R85" s="57" t="s"/>
      <c r="S85" s="57" t="s"/>
      <c r="T85" s="57" t="s"/>
      <c r="U85" s="57" t="s"/>
      <c r="V85" s="57" t="s"/>
      <c r="W85" s="57" t="s"/>
      <c r="X85" s="57" t="s"/>
      <c r="Y85" s="57" t="s"/>
      <c r="Z85" s="57" t="s"/>
      <c r="AA85" s="57" t="s"/>
    </row>
    <row r="86" spans="1:27">
      <c r="A86" s="52" t="s"/>
      <c r="B86" s="16" t="s"/>
      <c r="C86" s="105" t="s">
        <v>323</v>
      </c>
      <c r="D86" s="37" t="s">
        <v>254</v>
      </c>
      <c r="E86" s="48" t="s">
        <v>255</v>
      </c>
      <c r="F86" s="87" t="s">
        <v>17</v>
      </c>
      <c r="G86" s="106" t="s">
        <v>17</v>
      </c>
      <c r="H86" s="106" t="s">
        <v>17</v>
      </c>
      <c r="I86" s="57" t="s"/>
      <c r="J86" s="73" t="s">
        <v>219</v>
      </c>
      <c r="K86" s="73" t="s">
        <v>219</v>
      </c>
      <c r="L86" s="57" t="s"/>
      <c r="M86" s="57" t="s"/>
      <c r="N86" s="57" t="s"/>
      <c r="O86" s="57" t="s"/>
      <c r="P86" s="57" t="s"/>
      <c r="Q86" s="57" t="s"/>
      <c r="R86" s="57" t="s"/>
      <c r="S86" s="57" t="s"/>
      <c r="T86" s="57" t="s"/>
      <c r="U86" s="57" t="s"/>
      <c r="V86" s="57" t="s"/>
      <c r="W86" s="57" t="s"/>
      <c r="X86" s="57" t="s"/>
      <c r="Y86" s="57" t="s"/>
      <c r="Z86" s="57" t="s"/>
      <c r="AA86" s="57" t="s"/>
    </row>
    <row r="87" spans="1:27">
      <c r="A87" s="52" t="s"/>
      <c r="B87" s="107" t="s"/>
      <c r="C87" s="97" t="s">
        <v>324</v>
      </c>
      <c r="D87" s="37" t="s">
        <v>254</v>
      </c>
      <c r="E87" s="48" t="s">
        <v>255</v>
      </c>
      <c r="F87" s="87" t="s">
        <v>16</v>
      </c>
      <c r="G87" s="87" t="s">
        <v>16</v>
      </c>
      <c r="H87" s="87" t="s">
        <v>16</v>
      </c>
      <c r="I87" s="57" t="s"/>
      <c r="J87" s="73" t="s">
        <v>219</v>
      </c>
      <c r="K87" s="73" t="s">
        <v>219</v>
      </c>
      <c r="L87" s="57" t="s"/>
      <c r="M87" s="57" t="s"/>
      <c r="N87" s="57" t="s"/>
      <c r="O87" s="57" t="s"/>
      <c r="P87" s="57" t="s"/>
      <c r="Q87" s="57" t="s"/>
      <c r="R87" s="57" t="s"/>
      <c r="S87" s="57" t="s"/>
      <c r="T87" s="57" t="s"/>
      <c r="U87" s="57" t="s"/>
      <c r="V87" s="57" t="s"/>
      <c r="W87" s="57" t="s"/>
      <c r="X87" s="57" t="s"/>
      <c r="Y87" s="57" t="s"/>
      <c r="Z87" s="57" t="s"/>
      <c r="AA87" s="57" t="s"/>
    </row>
    <row r="88" spans="1:27">
      <c r="A88" s="52" t="s"/>
      <c r="B88" s="107" t="s"/>
      <c r="C88" s="97" t="s">
        <v>325</v>
      </c>
      <c r="D88" s="37" t="s">
        <v>254</v>
      </c>
      <c r="E88" s="48" t="s">
        <v>255</v>
      </c>
      <c r="F88" s="87" t="s">
        <v>17</v>
      </c>
      <c r="G88" s="106" t="s">
        <v>17</v>
      </c>
      <c r="H88" s="106" t="s">
        <v>17</v>
      </c>
      <c r="I88" s="57" t="s"/>
      <c r="J88" s="73" t="s">
        <v>219</v>
      </c>
      <c r="K88" s="73" t="s">
        <v>219</v>
      </c>
      <c r="L88" s="57" t="s"/>
      <c r="M88" s="57" t="s"/>
      <c r="N88" s="57" t="s"/>
      <c r="O88" s="57" t="s"/>
      <c r="P88" s="57" t="s"/>
      <c r="Q88" s="57" t="s"/>
      <c r="R88" s="57" t="s"/>
      <c r="S88" s="57" t="s"/>
      <c r="T88" s="57" t="s"/>
      <c r="U88" s="57" t="s"/>
      <c r="V88" s="57" t="s"/>
      <c r="W88" s="57" t="s"/>
      <c r="X88" s="57" t="s"/>
      <c r="Y88" s="57" t="s"/>
      <c r="Z88" s="57" t="s"/>
      <c r="AA88" s="57" t="s"/>
    </row>
    <row r="89" spans="1:27">
      <c r="A89" s="52" t="s"/>
      <c r="B89" s="107" t="s"/>
      <c r="C89" s="97" t="s">
        <v>326</v>
      </c>
      <c r="D89" s="37" t="s">
        <v>254</v>
      </c>
      <c r="E89" s="48" t="s">
        <v>255</v>
      </c>
      <c r="F89" s="87" t="s">
        <v>16</v>
      </c>
      <c r="G89" s="87" t="s">
        <v>16</v>
      </c>
      <c r="H89" s="87" t="s">
        <v>16</v>
      </c>
      <c r="I89" s="57" t="s"/>
      <c r="J89" s="73" t="s">
        <v>219</v>
      </c>
      <c r="K89" s="73" t="s">
        <v>219</v>
      </c>
      <c r="L89" s="57" t="s"/>
      <c r="M89" s="57" t="s"/>
      <c r="N89" s="57" t="s"/>
      <c r="O89" s="57" t="s"/>
      <c r="P89" s="57" t="s"/>
      <c r="Q89" s="57" t="s"/>
      <c r="R89" s="57" t="s"/>
      <c r="S89" s="57" t="s"/>
      <c r="T89" s="57" t="s"/>
      <c r="U89" s="57" t="s"/>
      <c r="V89" s="57" t="s"/>
      <c r="W89" s="57" t="s"/>
      <c r="X89" s="57" t="s"/>
      <c r="Y89" s="57" t="s"/>
      <c r="Z89" s="57" t="s"/>
      <c r="AA89" s="57" t="s"/>
    </row>
    <row r="90" spans="1:27">
      <c r="A90" s="52" t="s"/>
      <c r="B90" s="107" t="s"/>
      <c r="C90" s="97" t="s">
        <v>327</v>
      </c>
      <c r="D90" s="37" t="s">
        <v>254</v>
      </c>
      <c r="E90" s="48" t="s">
        <v>255</v>
      </c>
      <c r="F90" s="87" t="s">
        <v>17</v>
      </c>
      <c r="G90" s="106" t="s">
        <v>17</v>
      </c>
      <c r="H90" s="106" t="s">
        <v>17</v>
      </c>
      <c r="I90" s="57" t="s"/>
      <c r="J90" s="73" t="s">
        <v>219</v>
      </c>
      <c r="K90" s="73" t="s">
        <v>219</v>
      </c>
      <c r="L90" s="57" t="s"/>
      <c r="M90" s="57" t="s"/>
      <c r="N90" s="57" t="s"/>
      <c r="O90" s="57" t="s"/>
      <c r="P90" s="57" t="s"/>
      <c r="Q90" s="57" t="s"/>
      <c r="R90" s="57" t="s"/>
      <c r="S90" s="57" t="s"/>
      <c r="T90" s="57" t="s"/>
      <c r="U90" s="57" t="s"/>
      <c r="V90" s="57" t="s"/>
      <c r="W90" s="57" t="s"/>
      <c r="X90" s="57" t="s"/>
      <c r="Y90" s="57" t="s"/>
      <c r="Z90" s="57" t="s"/>
      <c r="AA90" s="57" t="s"/>
    </row>
    <row r="91" spans="1:27">
      <c r="A91" s="52" t="s"/>
      <c r="B91" s="107" t="s"/>
      <c r="C91" s="97" t="s">
        <v>328</v>
      </c>
      <c r="D91" s="37" t="s">
        <v>254</v>
      </c>
      <c r="E91" s="48" t="s">
        <v>255</v>
      </c>
      <c r="F91" s="87" t="s">
        <v>17</v>
      </c>
      <c r="G91" s="106" t="s">
        <v>17</v>
      </c>
      <c r="H91" s="106" t="s">
        <v>17</v>
      </c>
      <c r="I91" s="57" t="s"/>
      <c r="J91" s="73" t="s">
        <v>219</v>
      </c>
      <c r="K91" s="73" t="s">
        <v>219</v>
      </c>
      <c r="L91" s="57" t="s"/>
      <c r="M91" s="57" t="s"/>
      <c r="N91" s="57" t="s"/>
      <c r="O91" s="57" t="s"/>
      <c r="P91" s="57" t="s"/>
      <c r="Q91" s="57" t="s"/>
      <c r="R91" s="57" t="s"/>
      <c r="S91" s="57" t="s"/>
      <c r="T91" s="57" t="s"/>
      <c r="U91" s="57" t="s"/>
      <c r="V91" s="57" t="s"/>
      <c r="W91" s="57" t="s"/>
      <c r="X91" s="57" t="s"/>
      <c r="Y91" s="57" t="s"/>
      <c r="Z91" s="57" t="s"/>
      <c r="AA91" s="57" t="s"/>
    </row>
    <row r="92" spans="1:27">
      <c r="A92" s="52" t="s"/>
      <c r="B92" s="107" t="s"/>
      <c r="C92" s="97" t="s">
        <v>329</v>
      </c>
      <c r="D92" s="37" t="s">
        <v>254</v>
      </c>
      <c r="E92" s="48" t="s">
        <v>255</v>
      </c>
      <c r="F92" s="108" t="s">
        <v>16</v>
      </c>
      <c r="G92" s="108" t="s">
        <v>16</v>
      </c>
      <c r="H92" s="108" t="s">
        <v>16</v>
      </c>
      <c r="I92" s="57" t="s"/>
      <c r="J92" s="73" t="s">
        <v>219</v>
      </c>
      <c r="K92" s="73" t="s">
        <v>219</v>
      </c>
      <c r="L92" s="57" t="s"/>
      <c r="M92" s="57" t="s"/>
      <c r="N92" s="57" t="s"/>
      <c r="O92" s="57" t="s"/>
      <c r="P92" s="57" t="s"/>
      <c r="Q92" s="57" t="s"/>
      <c r="R92" s="57" t="s"/>
      <c r="S92" s="57" t="s"/>
      <c r="T92" s="57" t="s"/>
      <c r="U92" s="57" t="s"/>
      <c r="V92" s="57" t="s"/>
      <c r="W92" s="57" t="s"/>
      <c r="X92" s="57" t="s"/>
      <c r="Y92" s="57" t="s"/>
      <c r="Z92" s="57" t="s"/>
      <c r="AA92" s="57" t="s"/>
    </row>
    <row r="93" spans="1:27">
      <c r="A93" s="52" t="s"/>
      <c r="B93" s="107" t="s"/>
      <c r="C93" s="97" t="s">
        <v>330</v>
      </c>
      <c r="D93" s="37" t="s">
        <v>254</v>
      </c>
      <c r="E93" s="48" t="s">
        <v>255</v>
      </c>
      <c r="F93" s="87" t="s">
        <v>16</v>
      </c>
      <c r="G93" s="87" t="s">
        <v>16</v>
      </c>
      <c r="H93" s="87" t="s">
        <v>16</v>
      </c>
      <c r="I93" s="57" t="s"/>
      <c r="J93" s="73" t="s">
        <v>219</v>
      </c>
      <c r="K93" s="73" t="s">
        <v>219</v>
      </c>
      <c r="L93" s="57" t="s"/>
      <c r="M93" s="57" t="s"/>
      <c r="N93" s="57" t="s"/>
      <c r="O93" s="57" t="s"/>
      <c r="P93" s="57" t="s"/>
      <c r="Q93" s="57" t="s"/>
      <c r="R93" s="57" t="s"/>
      <c r="S93" s="57" t="s"/>
      <c r="T93" s="57" t="s"/>
      <c r="U93" s="57" t="s"/>
      <c r="V93" s="57" t="s"/>
      <c r="W93" s="57" t="s"/>
      <c r="X93" s="57" t="s"/>
      <c r="Y93" s="57" t="s"/>
      <c r="Z93" s="57" t="s"/>
      <c r="AA93" s="57" t="s"/>
    </row>
    <row r="94" spans="1:27">
      <c r="A94" s="52" t="s"/>
      <c r="B94" s="107" t="s"/>
      <c r="C94" s="97" t="s">
        <v>331</v>
      </c>
      <c r="D94" s="37" t="s">
        <v>254</v>
      </c>
      <c r="E94" s="48" t="s">
        <v>255</v>
      </c>
      <c r="F94" s="87" t="s">
        <v>16</v>
      </c>
      <c r="G94" s="87" t="s">
        <v>16</v>
      </c>
      <c r="H94" s="87" t="s">
        <v>16</v>
      </c>
      <c r="I94" s="57" t="s"/>
      <c r="J94" s="73" t="s">
        <v>219</v>
      </c>
      <c r="K94" s="73" t="s">
        <v>219</v>
      </c>
      <c r="L94" s="57" t="s"/>
      <c r="M94" s="57" t="s"/>
      <c r="N94" s="57" t="s"/>
      <c r="O94" s="57" t="s"/>
      <c r="P94" s="57" t="s"/>
      <c r="Q94" s="57" t="s"/>
      <c r="R94" s="57" t="s"/>
      <c r="S94" s="57" t="s"/>
      <c r="T94" s="57" t="s"/>
      <c r="U94" s="57" t="s"/>
      <c r="V94" s="57" t="s"/>
      <c r="W94" s="57" t="s"/>
      <c r="X94" s="57" t="s"/>
      <c r="Y94" s="57" t="s"/>
      <c r="Z94" s="57" t="s"/>
      <c r="AA94" s="57" t="s"/>
    </row>
    <row r="95" spans="1:27">
      <c r="A95" s="52" t="s"/>
      <c r="B95" s="107" t="s"/>
      <c r="C95" s="97" t="s">
        <v>332</v>
      </c>
      <c r="D95" s="37" t="s">
        <v>254</v>
      </c>
      <c r="E95" s="48" t="s">
        <v>255</v>
      </c>
      <c r="F95" s="87" t="s">
        <v>16</v>
      </c>
      <c r="G95" s="87" t="s">
        <v>16</v>
      </c>
      <c r="H95" s="87" t="s">
        <v>16</v>
      </c>
      <c r="I95" s="57" t="s"/>
      <c r="J95" s="73" t="s">
        <v>219</v>
      </c>
      <c r="K95" s="73" t="s">
        <v>219</v>
      </c>
      <c r="L95" s="57" t="s"/>
      <c r="M95" s="57" t="s"/>
      <c r="N95" s="57" t="s"/>
      <c r="O95" s="57" t="s"/>
      <c r="P95" s="57" t="s"/>
      <c r="Q95" s="57" t="s"/>
      <c r="R95" s="57" t="s"/>
      <c r="S95" s="57" t="s"/>
      <c r="T95" s="57" t="s"/>
      <c r="U95" s="57" t="s"/>
      <c r="V95" s="57" t="s"/>
      <c r="W95" s="57" t="s"/>
      <c r="X95" s="57" t="s"/>
      <c r="Y95" s="57" t="s"/>
      <c r="Z95" s="57" t="s"/>
      <c r="AA95" s="57" t="s"/>
    </row>
    <row r="96" spans="1:27">
      <c r="A96" s="52" t="s"/>
      <c r="B96" s="107" t="s"/>
      <c r="C96" s="97" t="s">
        <v>333</v>
      </c>
      <c r="D96" s="37" t="s">
        <v>254</v>
      </c>
      <c r="E96" s="48" t="s">
        <v>255</v>
      </c>
      <c r="F96" s="87" t="s">
        <v>16</v>
      </c>
      <c r="G96" s="87" t="s">
        <v>16</v>
      </c>
      <c r="H96" s="87" t="s">
        <v>16</v>
      </c>
      <c r="I96" s="57" t="s"/>
      <c r="J96" s="73" t="s">
        <v>219</v>
      </c>
      <c r="K96" s="73" t="s">
        <v>219</v>
      </c>
      <c r="L96" s="57" t="s"/>
      <c r="M96" s="57" t="s"/>
      <c r="N96" s="57" t="s"/>
      <c r="O96" s="57" t="s"/>
      <c r="P96" s="57" t="s"/>
      <c r="Q96" s="57" t="s"/>
      <c r="R96" s="57" t="s"/>
      <c r="S96" s="57" t="s"/>
      <c r="T96" s="57" t="s"/>
      <c r="U96" s="57" t="s"/>
      <c r="V96" s="57" t="s"/>
      <c r="W96" s="57" t="s"/>
      <c r="X96" s="57" t="s"/>
      <c r="Y96" s="57" t="s"/>
      <c r="Z96" s="57" t="s"/>
      <c r="AA96" s="57" t="s"/>
    </row>
    <row r="97" spans="1:27">
      <c r="A97" s="52" t="s"/>
      <c r="B97" s="107" t="s"/>
      <c r="C97" s="97" t="s">
        <v>334</v>
      </c>
      <c r="D97" s="37" t="s">
        <v>254</v>
      </c>
      <c r="E97" s="48" t="s">
        <v>255</v>
      </c>
      <c r="F97" s="87" t="s">
        <v>16</v>
      </c>
      <c r="G97" s="87" t="s">
        <v>16</v>
      </c>
      <c r="H97" s="87" t="s">
        <v>16</v>
      </c>
      <c r="I97" s="57" t="s"/>
      <c r="J97" s="73" t="s">
        <v>219</v>
      </c>
      <c r="K97" s="73" t="s">
        <v>219</v>
      </c>
      <c r="L97" s="57" t="s"/>
      <c r="M97" s="57" t="s"/>
      <c r="N97" s="57" t="s"/>
      <c r="O97" s="57" t="s"/>
      <c r="P97" s="57" t="s"/>
      <c r="Q97" s="57" t="s"/>
      <c r="R97" s="57" t="s"/>
      <c r="S97" s="57" t="s"/>
      <c r="T97" s="57" t="s"/>
      <c r="U97" s="57" t="s"/>
      <c r="V97" s="57" t="s"/>
      <c r="W97" s="57" t="s"/>
      <c r="X97" s="57" t="s"/>
      <c r="Y97" s="57" t="s"/>
      <c r="Z97" s="57" t="s"/>
      <c r="AA97" s="57" t="s"/>
    </row>
    <row r="98" spans="1:27">
      <c r="A98" s="52" t="s">
        <v>335</v>
      </c>
      <c r="B98" s="107" t="s"/>
      <c r="C98" s="97" t="s">
        <v>336</v>
      </c>
      <c r="D98" s="37" t="s">
        <v>254</v>
      </c>
      <c r="E98" s="48" t="s">
        <v>255</v>
      </c>
      <c r="F98" s="87" t="s">
        <v>16</v>
      </c>
      <c r="G98" s="87" t="s">
        <v>16</v>
      </c>
      <c r="H98" s="87" t="s">
        <v>16</v>
      </c>
      <c r="I98" s="57" t="s"/>
      <c r="J98" s="73" t="s">
        <v>219</v>
      </c>
      <c r="K98" s="73" t="s">
        <v>219</v>
      </c>
      <c r="L98" s="57" t="s"/>
      <c r="M98" s="57" t="s"/>
      <c r="N98" s="57" t="s"/>
      <c r="O98" s="57" t="s"/>
      <c r="P98" s="57" t="s"/>
      <c r="Q98" s="57" t="s"/>
      <c r="R98" s="57" t="s"/>
      <c r="S98" s="57" t="s"/>
      <c r="T98" s="57" t="s"/>
      <c r="U98" s="57" t="s"/>
      <c r="V98" s="57" t="s"/>
      <c r="W98" s="57" t="s"/>
      <c r="X98" s="57" t="s"/>
      <c r="Y98" s="57" t="s"/>
      <c r="Z98" s="57" t="s"/>
      <c r="AA98" s="57" t="s"/>
    </row>
    <row r="99" spans="1:27">
      <c r="A99" s="52" t="s"/>
      <c r="B99" s="16" t="s"/>
      <c r="C99" s="97" t="s">
        <v>337</v>
      </c>
      <c r="D99" s="37" t="s">
        <v>254</v>
      </c>
      <c r="E99" s="48" t="s">
        <v>255</v>
      </c>
      <c r="F99" s="87" t="s">
        <v>16</v>
      </c>
      <c r="G99" s="87" t="s">
        <v>16</v>
      </c>
      <c r="H99" s="87" t="s">
        <v>16</v>
      </c>
      <c r="I99" s="57" t="s"/>
      <c r="J99" s="73" t="s">
        <v>219</v>
      </c>
      <c r="K99" s="73" t="s">
        <v>219</v>
      </c>
      <c r="L99" s="57" t="s"/>
      <c r="M99" s="57" t="s"/>
      <c r="N99" s="57" t="s"/>
      <c r="O99" s="57" t="s"/>
      <c r="P99" s="57" t="s"/>
      <c r="Q99" s="57" t="s"/>
      <c r="R99" s="57" t="s"/>
      <c r="S99" s="57" t="s"/>
      <c r="T99" s="57" t="s"/>
      <c r="U99" s="57" t="s"/>
      <c r="V99" s="57" t="s"/>
      <c r="W99" s="57" t="s"/>
      <c r="X99" s="57" t="s"/>
      <c r="Y99" s="57" t="s"/>
      <c r="Z99" s="57" t="s"/>
      <c r="AA99" s="57" t="s"/>
    </row>
    <row r="100" spans="1:27">
      <c r="A100" s="66" t="s">
        <v>338</v>
      </c>
      <c r="B100" s="67" t="s"/>
      <c r="C100" s="97" t="s"/>
      <c r="D100" s="37" t="s">
        <v>254</v>
      </c>
      <c r="E100" s="48" t="s">
        <v>255</v>
      </c>
      <c r="F100" s="87" t="s">
        <v>16</v>
      </c>
      <c r="G100" s="87" t="s">
        <v>16</v>
      </c>
      <c r="H100" s="87" t="s">
        <v>16</v>
      </c>
      <c r="I100" s="57" t="s"/>
      <c r="J100" s="73" t="s">
        <v>219</v>
      </c>
      <c r="K100" s="73" t="s">
        <v>219</v>
      </c>
      <c r="L100" s="57" t="s"/>
      <c r="M100" s="57" t="s"/>
      <c r="N100" s="57" t="s"/>
      <c r="O100" s="57" t="s"/>
      <c r="P100" s="57" t="s"/>
      <c r="Q100" s="57" t="s"/>
      <c r="R100" s="57" t="s"/>
      <c r="S100" s="57" t="s"/>
      <c r="T100" s="57" t="s"/>
      <c r="U100" s="57" t="s"/>
      <c r="V100" s="57" t="s"/>
      <c r="W100" s="57" t="s"/>
      <c r="X100" s="57" t="s"/>
      <c r="Y100" s="57" t="s"/>
      <c r="Z100" s="57" t="s"/>
      <c r="AA100" s="57" t="s"/>
    </row>
    <row r="101" spans="1:27">
      <c r="A101" s="66" t="s">
        <v>339</v>
      </c>
      <c r="B101" s="67" t="s"/>
      <c r="C101" s="97" t="s"/>
      <c r="D101" s="37" t="s">
        <v>254</v>
      </c>
      <c r="E101" s="48" t="s">
        <v>255</v>
      </c>
      <c r="F101" s="87" t="s">
        <v>16</v>
      </c>
      <c r="G101" s="87" t="s">
        <v>16</v>
      </c>
      <c r="H101" s="87" t="s">
        <v>16</v>
      </c>
      <c r="I101" s="57" t="s"/>
      <c r="J101" s="73" t="s">
        <v>219</v>
      </c>
      <c r="K101" s="73" t="s">
        <v>219</v>
      </c>
      <c r="L101" s="57" t="s"/>
      <c r="M101" s="57" t="s"/>
      <c r="N101" s="57" t="s"/>
      <c r="O101" s="57" t="s"/>
      <c r="P101" s="57" t="s"/>
      <c r="Q101" s="57" t="s"/>
      <c r="R101" s="57" t="s"/>
      <c r="S101" s="57" t="s"/>
      <c r="T101" s="57" t="s"/>
      <c r="U101" s="57" t="s"/>
      <c r="V101" s="57" t="s"/>
      <c r="W101" s="57" t="s"/>
      <c r="X101" s="57" t="s"/>
      <c r="Y101" s="57" t="s"/>
      <c r="Z101" s="57" t="s"/>
      <c r="AA101" s="57" t="s"/>
    </row>
    <row r="102" spans="1:27">
      <c r="A102" s="84" t="s">
        <v>340</v>
      </c>
      <c r="B102" s="85" t="s"/>
      <c r="C102" s="61" t="s"/>
      <c r="D102" s="17" t="s"/>
      <c r="E102" s="17" t="s"/>
      <c r="F102" s="86" t="s"/>
      <c r="G102" s="86" t="s"/>
      <c r="H102" s="86" t="s"/>
      <c r="I102" s="86" t="s"/>
      <c r="J102" s="44" t="s"/>
      <c r="K102" s="44" t="s"/>
      <c r="L102" s="86" t="s"/>
      <c r="M102" s="86" t="s"/>
      <c r="N102" s="86" t="s"/>
      <c r="O102" s="86" t="s"/>
      <c r="P102" s="86" t="s"/>
      <c r="Q102" s="86" t="s"/>
      <c r="R102" s="86" t="s"/>
      <c r="S102" s="86" t="s"/>
      <c r="T102" s="86" t="s"/>
      <c r="U102" s="86" t="s"/>
      <c r="V102" s="86" t="s"/>
      <c r="W102" s="86" t="s"/>
      <c r="X102" s="86" t="s"/>
      <c r="Y102" s="86" t="s"/>
      <c r="Z102" s="86" t="s"/>
      <c r="AA102" s="86" t="s"/>
    </row>
    <row r="103" spans="1:27">
      <c r="A103" s="52" t="s">
        <v>341</v>
      </c>
      <c r="B103" s="16" t="s"/>
      <c r="C103" s="41" t="s"/>
      <c r="D103" s="37" t="s">
        <v>342</v>
      </c>
      <c r="E103" s="37" t="s">
        <v>343</v>
      </c>
      <c r="F103" s="58">
        <v>153.2</v>
      </c>
      <c r="G103" s="58">
        <v>184</v>
      </c>
      <c r="H103" s="58">
        <v>188</v>
      </c>
      <c r="I103" s="58" t="s"/>
      <c r="J103" s="44" t="s">
        <v>219</v>
      </c>
      <c r="K103" s="44" t="s">
        <v>219</v>
      </c>
      <c r="L103" s="58" t="s"/>
      <c r="M103" s="58" t="s"/>
      <c r="N103" s="58" t="s"/>
      <c r="O103" s="58" t="s"/>
      <c r="P103" s="58" t="s"/>
      <c r="Q103" s="58" t="s"/>
      <c r="R103" s="58" t="s"/>
      <c r="S103" s="58" t="s"/>
      <c r="T103" s="58" t="s"/>
      <c r="U103" s="58" t="s"/>
      <c r="V103" s="58" t="s"/>
      <c r="W103" s="58" t="s"/>
      <c r="X103" s="58" t="s"/>
      <c r="Y103" s="58" t="s"/>
      <c r="Z103" s="58" t="s"/>
      <c r="AA103" s="58" t="s"/>
    </row>
    <row r="104" spans="1:27">
      <c r="A104" s="52" t="s">
        <v>344</v>
      </c>
      <c r="B104" s="16" t="s"/>
      <c r="C104" s="41" t="s"/>
      <c r="D104" s="37" t="s">
        <v>342</v>
      </c>
      <c r="E104" s="37" t="s">
        <v>343</v>
      </c>
      <c r="F104" s="58">
        <v>142.8</v>
      </c>
      <c r="G104" s="58">
        <v>163.45</v>
      </c>
      <c r="H104" s="58">
        <v>163.45</v>
      </c>
      <c r="I104" s="58" t="s"/>
      <c r="J104" s="44" t="s">
        <v>219</v>
      </c>
      <c r="K104" s="44" t="s">
        <v>219</v>
      </c>
      <c r="L104" s="58" t="s"/>
      <c r="M104" s="58" t="s"/>
      <c r="N104" s="58" t="s"/>
      <c r="O104" s="58" t="s"/>
      <c r="P104" s="58" t="s"/>
      <c r="Q104" s="58" t="s"/>
      <c r="R104" s="58" t="s"/>
      <c r="S104" s="58" t="s"/>
      <c r="T104" s="58" t="s"/>
      <c r="U104" s="58" t="s"/>
      <c r="V104" s="58" t="s"/>
      <c r="W104" s="58" t="s"/>
      <c r="X104" s="58" t="s"/>
      <c r="Y104" s="58" t="s"/>
      <c r="Z104" s="58" t="s"/>
      <c r="AA104" s="58" t="s"/>
    </row>
    <row r="105" spans="1:27">
      <c r="A105" s="52" t="s">
        <v>345</v>
      </c>
      <c r="B105" s="16" t="s"/>
      <c r="C105" s="41" t="s"/>
      <c r="D105" s="37" t="s">
        <v>342</v>
      </c>
      <c r="E105" s="37" t="s">
        <v>343</v>
      </c>
      <c r="F105" s="58">
        <v>70.8</v>
      </c>
      <c r="G105" s="58">
        <v>75.24</v>
      </c>
      <c r="H105" s="58">
        <v>75.14</v>
      </c>
      <c r="I105" s="58" t="s"/>
      <c r="J105" s="44" t="s">
        <v>219</v>
      </c>
      <c r="K105" s="44" t="s">
        <v>219</v>
      </c>
      <c r="L105" s="58" t="s"/>
      <c r="M105" s="58" t="s"/>
      <c r="N105" s="58" t="s"/>
      <c r="O105" s="58" t="s"/>
      <c r="P105" s="58" t="s"/>
      <c r="Q105" s="58" t="s"/>
      <c r="R105" s="58" t="s"/>
      <c r="S105" s="58" t="s"/>
      <c r="T105" s="58" t="s"/>
      <c r="U105" s="58" t="s"/>
      <c r="V105" s="58" t="s"/>
      <c r="W105" s="58" t="s"/>
      <c r="X105" s="58" t="s"/>
      <c r="Y105" s="58" t="s"/>
      <c r="Z105" s="58" t="s"/>
      <c r="AA105" s="58" t="s"/>
    </row>
    <row r="106" spans="1:27">
      <c r="A106" s="52" t="s">
        <v>346</v>
      </c>
      <c r="B106" s="16" t="s"/>
      <c r="C106" s="41" t="s"/>
      <c r="D106" s="37" t="s">
        <v>342</v>
      </c>
      <c r="E106" s="37" t="s">
        <v>343</v>
      </c>
      <c r="F106" s="58">
        <v>9.5</v>
      </c>
      <c r="G106" s="58">
        <v>8.45</v>
      </c>
      <c r="H106" s="58">
        <v>8.9</v>
      </c>
      <c r="I106" s="109" t="s"/>
      <c r="J106" s="44" t="s">
        <v>219</v>
      </c>
      <c r="K106" s="44" t="s">
        <v>219</v>
      </c>
      <c r="L106" s="58" t="s"/>
      <c r="M106" s="58" t="s"/>
      <c r="N106" s="58" t="s"/>
      <c r="O106" s="58" t="s"/>
      <c r="P106" s="58" t="s"/>
      <c r="Q106" s="58" t="s"/>
      <c r="R106" s="58" t="s"/>
      <c r="S106" s="58" t="s"/>
      <c r="T106" s="58" t="s"/>
      <c r="U106" s="58" t="s"/>
      <c r="V106" s="58" t="s"/>
      <c r="W106" s="58" t="s"/>
      <c r="X106" s="58" t="s"/>
      <c r="Y106" s="58" t="s"/>
      <c r="Z106" s="58" t="s"/>
      <c r="AA106" s="58" t="s"/>
    </row>
    <row r="107" spans="1:27">
      <c r="A107" s="110" t="s">
        <v>347</v>
      </c>
      <c r="B107" s="16" t="s"/>
      <c r="C107" s="41" t="s"/>
      <c r="D107" s="37" t="s">
        <v>254</v>
      </c>
      <c r="E107" s="48" t="s">
        <v>255</v>
      </c>
      <c r="F107" s="87" t="s">
        <v>348</v>
      </c>
      <c r="G107" s="87" t="s">
        <v>348</v>
      </c>
      <c r="H107" s="87" t="s">
        <v>348</v>
      </c>
      <c r="I107" s="111" t="s"/>
      <c r="J107" s="73" t="s">
        <v>219</v>
      </c>
      <c r="K107" s="73" t="s">
        <v>219</v>
      </c>
      <c r="L107" s="57" t="s"/>
      <c r="M107" s="57" t="s"/>
      <c r="N107" s="57" t="s"/>
      <c r="O107" s="57" t="s"/>
      <c r="P107" s="57" t="s"/>
      <c r="Q107" s="57" t="s"/>
      <c r="R107" s="57" t="s"/>
      <c r="S107" s="57" t="s"/>
      <c r="T107" s="57" t="s"/>
      <c r="U107" s="57" t="s"/>
      <c r="V107" s="57" t="s"/>
      <c r="W107" s="57" t="s"/>
      <c r="X107" s="57" t="s"/>
      <c r="Y107" s="57" t="s"/>
      <c r="Z107" s="57" t="s"/>
      <c r="AA107" s="57" t="s"/>
    </row>
    <row r="108" spans="1:27" ht="15.5">
      <c r="A108" s="110" t="s">
        <v>349</v>
      </c>
      <c r="B108" s="16" t="s"/>
      <c r="C108" s="41" t="s"/>
      <c r="D108" s="37" t="s">
        <v>254</v>
      </c>
      <c r="E108" s="48" t="s">
        <v>255</v>
      </c>
      <c r="F108" s="87" t="s">
        <v>16</v>
      </c>
      <c r="G108" s="87" t="s">
        <v>16</v>
      </c>
      <c r="H108" s="87" t="s">
        <v>16</v>
      </c>
      <c r="I108" s="112" t="s">
        <v>350</v>
      </c>
      <c r="J108" s="73" t="s">
        <v>219</v>
      </c>
      <c r="K108" s="73" t="s">
        <v>219</v>
      </c>
      <c r="L108" s="57" t="s"/>
      <c r="M108" s="57" t="s"/>
      <c r="N108" s="57" t="s"/>
      <c r="O108" s="57" t="s"/>
      <c r="P108" s="57" t="s"/>
      <c r="Q108" s="57" t="s"/>
      <c r="R108" s="57" t="s"/>
      <c r="S108" s="57" t="s"/>
      <c r="T108" s="57" t="s"/>
      <c r="U108" s="57" t="s"/>
      <c r="V108" s="57" t="s"/>
      <c r="W108" s="57" t="s"/>
      <c r="X108" s="57" t="s"/>
      <c r="Y108" s="57" t="s"/>
      <c r="Z108" s="57" t="s"/>
      <c r="AA108" s="57" t="s"/>
    </row>
    <row r="109" spans="1:27">
      <c r="A109" s="110" t="s">
        <v>351</v>
      </c>
      <c r="B109" s="16" t="s"/>
      <c r="C109" s="41" t="s"/>
      <c r="D109" s="37" t="s">
        <v>254</v>
      </c>
      <c r="E109" s="48" t="s">
        <v>255</v>
      </c>
      <c r="F109" s="87" t="s">
        <v>17</v>
      </c>
      <c r="G109" s="87" t="s">
        <v>17</v>
      </c>
      <c r="H109" s="87" t="s">
        <v>17</v>
      </c>
      <c r="I109" s="111" t="s"/>
      <c r="J109" s="73" t="s">
        <v>219</v>
      </c>
      <c r="K109" s="73" t="s">
        <v>219</v>
      </c>
      <c r="L109" s="57" t="s"/>
      <c r="M109" s="57" t="s"/>
      <c r="N109" s="57" t="s"/>
      <c r="O109" s="57" t="s"/>
      <c r="P109" s="57" t="s"/>
      <c r="Q109" s="57" t="s"/>
      <c r="R109" s="57" t="s"/>
      <c r="S109" s="57" t="s"/>
      <c r="T109" s="57" t="s"/>
      <c r="U109" s="57" t="s"/>
      <c r="V109" s="57" t="s"/>
      <c r="W109" s="57" t="s"/>
      <c r="X109" s="57" t="s"/>
      <c r="Y109" s="57" t="s"/>
      <c r="Z109" s="57" t="s"/>
      <c r="AA109" s="57" t="s"/>
    </row>
    <row r="110" spans="1:27">
      <c r="A110" s="113" t="s">
        <v>352</v>
      </c>
      <c r="B110" s="50" t="s"/>
      <c r="C110" s="41" t="s"/>
      <c r="D110" s="37" t="s">
        <v>254</v>
      </c>
      <c r="E110" s="48" t="s">
        <v>255</v>
      </c>
      <c r="F110" s="87" t="s">
        <v>353</v>
      </c>
      <c r="G110" s="87" t="s">
        <v>353</v>
      </c>
      <c r="H110" s="87" t="s">
        <v>353</v>
      </c>
      <c r="I110" s="111" t="s"/>
      <c r="J110" s="73" t="s">
        <v>219</v>
      </c>
      <c r="K110" s="73" t="s">
        <v>219</v>
      </c>
      <c r="L110" s="57" t="s"/>
      <c r="M110" s="57" t="s"/>
      <c r="N110" s="57" t="s"/>
      <c r="O110" s="57" t="s"/>
      <c r="P110" s="57" t="s"/>
      <c r="Q110" s="57" t="s"/>
      <c r="R110" s="57" t="s"/>
      <c r="S110" s="57" t="s"/>
      <c r="T110" s="57" t="s"/>
      <c r="U110" s="57" t="s"/>
      <c r="V110" s="57" t="s"/>
      <c r="W110" s="57" t="s"/>
      <c r="X110" s="57" t="s"/>
      <c r="Y110" s="57" t="s"/>
      <c r="Z110" s="57" t="s"/>
      <c r="AA110" s="57" t="s"/>
    </row>
    <row r="111" spans="1:27">
      <c r="A111" s="52" t="s">
        <v>354</v>
      </c>
      <c r="B111" s="16" t="s"/>
      <c r="C111" s="41" t="s"/>
      <c r="D111" s="37" t="s">
        <v>254</v>
      </c>
      <c r="E111" s="48" t="s">
        <v>255</v>
      </c>
      <c r="F111" s="87" t="s">
        <v>16</v>
      </c>
      <c r="G111" s="87" t="s">
        <v>16</v>
      </c>
      <c r="H111" s="87" t="s">
        <v>16</v>
      </c>
      <c r="I111" s="111" t="s"/>
      <c r="J111" s="73" t="s">
        <v>219</v>
      </c>
      <c r="K111" s="73" t="s">
        <v>219</v>
      </c>
      <c r="L111" s="57" t="s"/>
      <c r="M111" s="57" t="s"/>
      <c r="N111" s="57" t="s"/>
      <c r="O111" s="57" t="s"/>
      <c r="P111" s="57" t="s"/>
      <c r="Q111" s="57" t="s"/>
      <c r="R111" s="57" t="s"/>
      <c r="S111" s="57" t="s"/>
      <c r="T111" s="57" t="s"/>
      <c r="U111" s="57" t="s"/>
      <c r="V111" s="57" t="s"/>
      <c r="W111" s="57" t="s"/>
      <c r="X111" s="57" t="s"/>
      <c r="Y111" s="57" t="s"/>
      <c r="Z111" s="57" t="s"/>
      <c r="AA111" s="57" t="s"/>
    </row>
    <row r="112" spans="1:27">
      <c r="A112" s="110" t="s">
        <v>355</v>
      </c>
      <c r="B112" s="16" t="s"/>
      <c r="C112" s="41" t="s"/>
      <c r="D112" s="37" t="s">
        <v>342</v>
      </c>
      <c r="E112" s="37" t="s">
        <v>343</v>
      </c>
      <c r="F112" s="87" t="s">
        <v>356</v>
      </c>
      <c r="G112" s="114" t="s">
        <v>357</v>
      </c>
      <c r="H112" s="87" t="s">
        <v>357</v>
      </c>
      <c r="I112" s="115" t="s">
        <v>760</v>
      </c>
      <c r="J112" s="44" t="s">
        <v>219</v>
      </c>
      <c r="K112" s="44" t="s">
        <v>358</v>
      </c>
      <c r="L112" s="57" t="s"/>
      <c r="M112" s="57" t="s"/>
      <c r="N112" s="57" t="s"/>
      <c r="O112" s="57" t="s"/>
      <c r="P112" s="57" t="s"/>
      <c r="Q112" s="57" t="s"/>
      <c r="R112" s="57" t="s"/>
      <c r="S112" s="57" t="s"/>
      <c r="T112" s="57" t="s"/>
      <c r="U112" s="57" t="s"/>
      <c r="V112" s="57" t="s"/>
      <c r="W112" s="57" t="s"/>
      <c r="X112" s="57" t="s"/>
      <c r="Y112" s="57" t="s"/>
      <c r="Z112" s="57" t="s"/>
      <c r="AA112" s="57" t="s"/>
    </row>
    <row r="113" spans="1:27">
      <c r="A113" s="110" t="s">
        <v>359</v>
      </c>
      <c r="B113" s="16" t="s"/>
      <c r="C113" s="41" t="s"/>
      <c r="D113" s="37" t="s">
        <v>342</v>
      </c>
      <c r="E113" s="37" t="s">
        <v>343</v>
      </c>
      <c r="F113" s="87" t="s">
        <v>360</v>
      </c>
      <c r="G113" s="87" t="s">
        <v>361</v>
      </c>
      <c r="H113" s="87" t="s">
        <v>361</v>
      </c>
      <c r="I113" s="44" t="s"/>
      <c r="J113" s="44" t="s">
        <v>219</v>
      </c>
      <c r="K113" s="44" t="s">
        <v>219</v>
      </c>
      <c r="L113" s="57" t="s"/>
      <c r="M113" s="57" t="s"/>
      <c r="N113" s="57" t="s"/>
      <c r="O113" s="57" t="s"/>
      <c r="P113" s="57" t="s"/>
      <c r="Q113" s="57" t="s"/>
      <c r="R113" s="57" t="s"/>
      <c r="S113" s="57" t="s"/>
      <c r="T113" s="57" t="s"/>
      <c r="U113" s="57" t="s"/>
      <c r="V113" s="57" t="s"/>
      <c r="W113" s="57" t="s"/>
      <c r="X113" s="57" t="s"/>
      <c r="Y113" s="57" t="s"/>
      <c r="Z113" s="57" t="s"/>
      <c r="AA113" s="57" t="s"/>
    </row>
    <row r="114" spans="1:27">
      <c r="A114" s="52" t="s">
        <v>362</v>
      </c>
      <c r="B114" s="16" t="s"/>
      <c r="C114" s="41" t="s"/>
      <c r="D114" s="37" t="s">
        <v>254</v>
      </c>
      <c r="E114" s="48" t="s">
        <v>255</v>
      </c>
      <c r="F114" s="87" t="s">
        <v>16</v>
      </c>
      <c r="G114" s="87" t="s">
        <v>16</v>
      </c>
      <c r="H114" s="87" t="s">
        <v>17</v>
      </c>
      <c r="I114" s="111" t="s"/>
      <c r="J114" s="73" t="s">
        <v>219</v>
      </c>
      <c r="K114" s="73" t="s">
        <v>219</v>
      </c>
      <c r="L114" s="57" t="s"/>
      <c r="M114" s="57" t="s"/>
      <c r="N114" s="57" t="s"/>
      <c r="O114" s="57" t="s"/>
      <c r="P114" s="57" t="s"/>
      <c r="Q114" s="57" t="s"/>
      <c r="R114" s="57" t="s"/>
      <c r="S114" s="57" t="s"/>
      <c r="T114" s="57" t="s"/>
      <c r="U114" s="57" t="s"/>
      <c r="V114" s="57" t="s"/>
      <c r="W114" s="57" t="s"/>
      <c r="X114" s="57" t="s"/>
      <c r="Y114" s="57" t="s"/>
      <c r="Z114" s="57" t="s"/>
      <c r="AA114" s="57" t="s"/>
    </row>
    <row r="115" spans="1:27">
      <c r="A115" s="52" t="s">
        <v>363</v>
      </c>
      <c r="B115" s="16" t="s"/>
      <c r="C115" s="41" t="s"/>
      <c r="D115" s="37" t="s">
        <v>254</v>
      </c>
      <c r="E115" s="48" t="s">
        <v>255</v>
      </c>
      <c r="F115" s="87" t="s">
        <v>17</v>
      </c>
      <c r="G115" s="87" t="s">
        <v>17</v>
      </c>
      <c r="H115" s="87" t="s">
        <v>17</v>
      </c>
      <c r="I115" s="57" t="s"/>
      <c r="J115" s="73" t="s">
        <v>219</v>
      </c>
      <c r="K115" s="73" t="s">
        <v>219</v>
      </c>
      <c r="L115" s="57" t="s"/>
      <c r="M115" s="57" t="s"/>
      <c r="N115" s="57" t="s"/>
      <c r="O115" s="57" t="s"/>
      <c r="P115" s="57" t="s"/>
      <c r="Q115" s="57" t="s"/>
      <c r="R115" s="57" t="s"/>
      <c r="S115" s="57" t="s"/>
      <c r="T115" s="57" t="s"/>
      <c r="U115" s="57" t="s"/>
      <c r="V115" s="57" t="s"/>
      <c r="W115" s="57" t="s"/>
      <c r="X115" s="57" t="s"/>
      <c r="Y115" s="57" t="s"/>
      <c r="Z115" s="57" t="s"/>
      <c r="AA115" s="57" t="s"/>
    </row>
    <row r="116" spans="1:27" ht="15" thickBot="true">
      <c r="A116" s="84" t="s">
        <v>364</v>
      </c>
      <c r="B116" s="85" t="s"/>
      <c r="C116" s="61" t="s"/>
      <c r="D116" s="17" t="s"/>
      <c r="E116" s="17" t="s"/>
      <c r="F116" s="62" t="s"/>
      <c r="G116" s="62" t="s"/>
      <c r="H116" s="62" t="s"/>
      <c r="I116" s="62" t="s"/>
      <c r="J116" s="44" t="s"/>
      <c r="K116" s="44" t="s"/>
      <c r="L116" s="62" t="s"/>
      <c r="M116" s="62" t="s"/>
      <c r="N116" s="62" t="s"/>
      <c r="O116" s="62" t="s"/>
      <c r="P116" s="62" t="s"/>
      <c r="Q116" s="62" t="s"/>
      <c r="R116" s="62" t="s"/>
      <c r="S116" s="62" t="s"/>
      <c r="T116" s="62" t="s"/>
      <c r="U116" s="62" t="s"/>
      <c r="V116" s="62" t="s"/>
      <c r="W116" s="62" t="s"/>
      <c r="X116" s="62" t="s"/>
      <c r="Y116" s="62" t="s"/>
      <c r="Z116" s="62" t="s"/>
      <c r="AA116" s="62" t="s"/>
    </row>
    <row r="117" spans="1:27" ht="15" thickBot="true">
      <c r="A117" s="39" t="s">
        <v>365</v>
      </c>
      <c r="B117" s="40" t="s"/>
      <c r="C117" s="41" t="s"/>
      <c r="D117" s="37" t="s">
        <v>366</v>
      </c>
      <c r="E117" s="37" t="s">
        <v>367</v>
      </c>
      <c r="F117" s="116">
        <v>4.96</v>
      </c>
      <c r="G117" s="116">
        <v>6.517</v>
      </c>
      <c r="H117" s="116">
        <v>6.517</v>
      </c>
      <c r="I117" s="117" t="s"/>
      <c r="J117" s="44" t="s">
        <v>219</v>
      </c>
      <c r="K117" s="44" t="s">
        <v>219</v>
      </c>
      <c r="L117" s="117" t="s"/>
      <c r="M117" s="117" t="s"/>
      <c r="N117" s="117" t="s"/>
      <c r="O117" s="117" t="s"/>
      <c r="P117" s="117" t="s"/>
      <c r="Q117" s="117" t="s"/>
      <c r="R117" s="117" t="s"/>
      <c r="S117" s="117" t="s"/>
      <c r="T117" s="117" t="s"/>
      <c r="U117" s="117" t="s"/>
      <c r="V117" s="117" t="s"/>
      <c r="W117" s="117" t="s"/>
      <c r="X117" s="117" t="s"/>
      <c r="Y117" s="117" t="s"/>
      <c r="Z117" s="117" t="s"/>
      <c r="AA117" s="117" t="s"/>
    </row>
    <row r="118" spans="1:27">
      <c r="A118" s="52" t="s">
        <v>368</v>
      </c>
      <c r="B118" s="16" t="s"/>
      <c r="C118" s="41" t="s"/>
      <c r="D118" s="37" t="s">
        <v>366</v>
      </c>
      <c r="E118" s="37" t="s">
        <v>367</v>
      </c>
      <c r="F118" s="116">
        <v>480</v>
      </c>
      <c r="G118" s="83">
        <v>576</v>
      </c>
      <c r="H118" s="83">
        <v>576</v>
      </c>
      <c r="I118" s="83" t="s"/>
      <c r="J118" s="44" t="s">
        <v>219</v>
      </c>
      <c r="K118" s="44" t="s">
        <v>219</v>
      </c>
      <c r="L118" s="83" t="s"/>
      <c r="M118" s="83" t="s"/>
      <c r="N118" s="83" t="s"/>
      <c r="O118" s="83" t="s"/>
      <c r="P118" s="83" t="s"/>
      <c r="Q118" s="83" t="s"/>
      <c r="R118" s="83" t="s"/>
      <c r="S118" s="83" t="s"/>
      <c r="T118" s="83" t="s"/>
      <c r="U118" s="83" t="s"/>
      <c r="V118" s="83" t="s"/>
      <c r="W118" s="83" t="s"/>
      <c r="X118" s="83" t="s"/>
      <c r="Y118" s="83" t="s"/>
      <c r="Z118" s="83" t="s"/>
      <c r="AA118" s="83" t="s"/>
    </row>
    <row r="119" spans="1:27">
      <c r="A119" s="52" t="s">
        <v>369</v>
      </c>
      <c r="B119" s="16" t="s"/>
      <c r="C119" s="41" t="s"/>
      <c r="D119" s="37" t="s">
        <v>366</v>
      </c>
      <c r="E119" s="37" t="s">
        <v>367</v>
      </c>
      <c r="F119" s="116">
        <v>854</v>
      </c>
      <c r="G119" s="83">
        <v>1280</v>
      </c>
      <c r="H119" s="83">
        <v>1280</v>
      </c>
      <c r="I119" s="83" t="s"/>
      <c r="J119" s="44" t="s">
        <v>219</v>
      </c>
      <c r="K119" s="44" t="s">
        <v>219</v>
      </c>
      <c r="L119" s="83" t="s"/>
      <c r="M119" s="83" t="s"/>
      <c r="N119" s="83" t="s"/>
      <c r="O119" s="83" t="s"/>
      <c r="P119" s="83" t="s"/>
      <c r="Q119" s="83" t="s"/>
      <c r="R119" s="83" t="s"/>
      <c r="S119" s="83" t="s"/>
      <c r="T119" s="83" t="s"/>
      <c r="U119" s="83" t="s"/>
      <c r="V119" s="83" t="s"/>
      <c r="W119" s="83" t="s"/>
      <c r="X119" s="83" t="s"/>
      <c r="Y119" s="83" t="s"/>
      <c r="Z119" s="83" t="s"/>
      <c r="AA119" s="83" t="s"/>
    </row>
    <row r="120" spans="1:27">
      <c r="A120" s="52" t="s">
        <v>370</v>
      </c>
      <c r="B120" s="16" t="s"/>
      <c r="C120" s="41" t="s"/>
      <c r="D120" s="37" t="s">
        <v>366</v>
      </c>
      <c r="E120" s="37" t="s">
        <v>367</v>
      </c>
      <c r="F120" s="87" t="s">
        <v>371</v>
      </c>
      <c r="G120" s="87" t="s">
        <v>371</v>
      </c>
      <c r="H120" s="87" t="s">
        <v>371</v>
      </c>
      <c r="I120" s="57" t="s"/>
      <c r="J120" s="44" t="s">
        <v>219</v>
      </c>
      <c r="K120" s="44" t="s">
        <v>219</v>
      </c>
      <c r="L120" s="57" t="s"/>
      <c r="M120" s="57" t="s"/>
      <c r="N120" s="57" t="s"/>
      <c r="O120" s="57" t="s"/>
      <c r="P120" s="57" t="s"/>
      <c r="Q120" s="57" t="s"/>
      <c r="R120" s="57" t="s"/>
      <c r="S120" s="57" t="s"/>
      <c r="T120" s="57" t="s"/>
      <c r="U120" s="57" t="s"/>
      <c r="V120" s="57" t="s"/>
      <c r="W120" s="57" t="s"/>
      <c r="X120" s="57" t="s"/>
      <c r="Y120" s="57" t="s"/>
      <c r="Z120" s="57" t="s"/>
      <c r="AA120" s="57" t="s"/>
    </row>
    <row r="121" spans="1:27">
      <c r="A121" s="49" t="s">
        <v>372</v>
      </c>
      <c r="B121" s="50" t="s"/>
      <c r="C121" s="41" t="s"/>
      <c r="D121" s="37" t="s">
        <v>366</v>
      </c>
      <c r="E121" s="37" t="s">
        <v>367</v>
      </c>
      <c r="F121" s="116">
        <v>197</v>
      </c>
      <c r="G121" s="83">
        <v>215</v>
      </c>
      <c r="H121" s="83">
        <v>215</v>
      </c>
      <c r="I121" s="83" t="s"/>
      <c r="J121" s="44" t="s">
        <v>219</v>
      </c>
      <c r="K121" s="44" t="s">
        <v>219</v>
      </c>
      <c r="L121" s="83" t="s"/>
      <c r="M121" s="83" t="s"/>
      <c r="N121" s="83" t="s"/>
      <c r="O121" s="83" t="s"/>
      <c r="P121" s="83" t="s"/>
      <c r="Q121" s="83" t="s"/>
      <c r="R121" s="83" t="s"/>
      <c r="S121" s="83" t="s"/>
      <c r="T121" s="83" t="s"/>
      <c r="U121" s="83" t="s"/>
      <c r="V121" s="83" t="s"/>
      <c r="W121" s="83" t="s"/>
      <c r="X121" s="83" t="s"/>
      <c r="Y121" s="83" t="s"/>
      <c r="Z121" s="83" t="s"/>
      <c r="AA121" s="83" t="s"/>
    </row>
    <row r="122" spans="1:27">
      <c r="A122" s="52" t="s">
        <v>373</v>
      </c>
      <c r="B122" s="16" t="s"/>
      <c r="C122" s="41" t="s"/>
      <c r="D122" s="37" t="s">
        <v>366</v>
      </c>
      <c r="E122" s="37" t="s">
        <v>367</v>
      </c>
      <c r="F122" s="83" t="s">
        <v>374</v>
      </c>
      <c r="G122" s="83" t="s">
        <v>375</v>
      </c>
      <c r="H122" s="83" t="s">
        <v>375</v>
      </c>
      <c r="I122" s="83" t="s"/>
      <c r="J122" s="44" t="s">
        <v>219</v>
      </c>
      <c r="K122" s="44" t="s">
        <v>219</v>
      </c>
      <c r="L122" s="83" t="s"/>
      <c r="M122" s="83" t="s"/>
      <c r="N122" s="83" t="s"/>
      <c r="O122" s="83" t="s"/>
      <c r="P122" s="83" t="s"/>
      <c r="Q122" s="83" t="s"/>
      <c r="R122" s="83" t="s"/>
      <c r="S122" s="83" t="s"/>
      <c r="T122" s="83" t="s"/>
      <c r="U122" s="83" t="s"/>
      <c r="V122" s="83" t="s"/>
      <c r="W122" s="83" t="s"/>
      <c r="X122" s="83" t="s"/>
      <c r="Y122" s="83" t="s"/>
      <c r="Z122" s="83" t="s"/>
      <c r="AA122" s="83" t="s"/>
    </row>
    <row r="123" spans="1:27">
      <c r="A123" s="49" t="s">
        <v>376</v>
      </c>
      <c r="B123" s="50" t="s"/>
      <c r="C123" s="41" t="s"/>
      <c r="D123" s="37" t="s">
        <v>366</v>
      </c>
      <c r="E123" s="37" t="s">
        <v>367</v>
      </c>
      <c r="F123" s="83" t="s">
        <v>377</v>
      </c>
      <c r="G123" s="83" t="s">
        <v>377</v>
      </c>
      <c r="H123" s="83" t="s">
        <v>377</v>
      </c>
      <c r="I123" s="83" t="s"/>
      <c r="J123" s="44" t="s">
        <v>219</v>
      </c>
      <c r="K123" s="44" t="s">
        <v>219</v>
      </c>
      <c r="L123" s="83" t="s"/>
      <c r="M123" s="83" t="s"/>
      <c r="N123" s="83" t="s"/>
      <c r="O123" s="83" t="s"/>
      <c r="P123" s="83" t="s"/>
      <c r="Q123" s="83" t="s"/>
      <c r="R123" s="83" t="s"/>
      <c r="S123" s="83" t="s"/>
      <c r="T123" s="83" t="s"/>
      <c r="U123" s="83" t="s"/>
      <c r="V123" s="83" t="s"/>
      <c r="W123" s="83" t="s"/>
      <c r="X123" s="83" t="s"/>
      <c r="Y123" s="83" t="s"/>
      <c r="Z123" s="83" t="s"/>
      <c r="AA123" s="83" t="s"/>
    </row>
    <row r="124" spans="1:27">
      <c r="A124" s="52" t="s">
        <v>378</v>
      </c>
      <c r="B124" s="16" t="s"/>
      <c r="C124" s="41" t="s"/>
      <c r="D124" s="37" t="s">
        <v>366</v>
      </c>
      <c r="E124" s="37" t="s">
        <v>367</v>
      </c>
      <c r="F124" s="87" t="s">
        <v>16</v>
      </c>
      <c r="G124" s="87" t="s">
        <v>16</v>
      </c>
      <c r="H124" s="87" t="s">
        <v>16</v>
      </c>
      <c r="I124" s="44" t="s"/>
      <c r="J124" s="44" t="s">
        <v>219</v>
      </c>
      <c r="K124" s="44" t="s">
        <v>219</v>
      </c>
      <c r="L124" s="57" t="s"/>
      <c r="M124" s="57" t="s"/>
      <c r="N124" s="57" t="s"/>
      <c r="O124" s="57" t="s"/>
      <c r="P124" s="57" t="s"/>
      <c r="Q124" s="57" t="s"/>
      <c r="R124" s="57" t="s"/>
      <c r="S124" s="57" t="s"/>
      <c r="T124" s="57" t="s"/>
      <c r="U124" s="57" t="s"/>
      <c r="V124" s="57" t="s"/>
      <c r="W124" s="57" t="s"/>
      <c r="X124" s="57" t="s"/>
      <c r="Y124" s="57" t="s"/>
      <c r="Z124" s="57" t="s"/>
      <c r="AA124" s="57" t="s"/>
    </row>
    <row r="125" spans="1:27">
      <c r="A125" s="110" t="s">
        <v>379</v>
      </c>
      <c r="B125" s="16" t="s"/>
      <c r="C125" s="41" t="s"/>
      <c r="D125" s="37" t="s">
        <v>366</v>
      </c>
      <c r="E125" s="37" t="s">
        <v>367</v>
      </c>
      <c r="F125" s="87" t="s">
        <v>16</v>
      </c>
      <c r="G125" s="87" t="s">
        <v>16</v>
      </c>
      <c r="H125" s="87" t="s">
        <v>16</v>
      </c>
      <c r="I125" s="98" t="s"/>
      <c r="J125" s="44" t="s">
        <v>219</v>
      </c>
      <c r="K125" s="44" t="s">
        <v>219</v>
      </c>
      <c r="L125" s="57" t="s"/>
      <c r="M125" s="57" t="s"/>
      <c r="N125" s="57" t="s"/>
      <c r="O125" s="57" t="s"/>
      <c r="P125" s="57" t="s"/>
      <c r="Q125" s="57" t="s"/>
      <c r="R125" s="57" t="s"/>
      <c r="S125" s="57" t="s"/>
      <c r="T125" s="57" t="s"/>
      <c r="U125" s="57" t="s"/>
      <c r="V125" s="57" t="s"/>
      <c r="W125" s="57" t="s"/>
      <c r="X125" s="57" t="s"/>
      <c r="Y125" s="57" t="s"/>
      <c r="Z125" s="57" t="s"/>
      <c r="AA125" s="57" t="s"/>
    </row>
    <row r="126" spans="1:27">
      <c r="A126" s="52" t="s">
        <v>380</v>
      </c>
      <c r="B126" s="16" t="s"/>
      <c r="C126" s="41" t="s"/>
      <c r="D126" s="37" t="s">
        <v>366</v>
      </c>
      <c r="E126" s="37" t="s">
        <v>367</v>
      </c>
      <c r="F126" s="87" t="s">
        <v>16</v>
      </c>
      <c r="G126" s="87" t="s">
        <v>16</v>
      </c>
      <c r="H126" s="87" t="s">
        <v>16</v>
      </c>
      <c r="I126" s="98" t="s"/>
      <c r="J126" s="44" t="s">
        <v>219</v>
      </c>
      <c r="K126" s="44" t="s">
        <v>219</v>
      </c>
      <c r="L126" s="57" t="s"/>
      <c r="M126" s="57" t="s"/>
      <c r="N126" s="57" t="s"/>
      <c r="O126" s="57" t="s"/>
      <c r="P126" s="57" t="s"/>
      <c r="Q126" s="57" t="s"/>
      <c r="R126" s="57" t="s"/>
      <c r="S126" s="57" t="s"/>
      <c r="T126" s="57" t="s"/>
      <c r="U126" s="57" t="s"/>
      <c r="V126" s="57" t="s"/>
      <c r="W126" s="57" t="s"/>
      <c r="X126" s="57" t="s"/>
      <c r="Y126" s="57" t="s"/>
      <c r="Z126" s="57" t="s"/>
      <c r="AA126" s="57" t="s"/>
    </row>
    <row r="127" spans="1:27">
      <c r="A127" s="84" t="s">
        <v>381</v>
      </c>
      <c r="B127" s="85" t="s"/>
      <c r="C127" s="61" t="s"/>
      <c r="D127" s="17" t="s"/>
      <c r="E127" s="17" t="s"/>
      <c r="F127" s="86" t="s"/>
      <c r="G127" s="86" t="s"/>
      <c r="H127" s="86" t="s"/>
      <c r="I127" s="86" t="s"/>
      <c r="J127" s="44" t="s"/>
      <c r="K127" s="44" t="s"/>
      <c r="L127" s="86" t="s"/>
      <c r="M127" s="86" t="s"/>
      <c r="N127" s="86" t="s"/>
      <c r="O127" s="86" t="s"/>
      <c r="P127" s="86" t="s"/>
      <c r="Q127" s="86" t="s"/>
      <c r="R127" s="86" t="s"/>
      <c r="S127" s="86" t="s"/>
      <c r="T127" s="86" t="s"/>
      <c r="U127" s="86" t="s"/>
      <c r="V127" s="86" t="s"/>
      <c r="W127" s="86" t="s"/>
      <c r="X127" s="86" t="s"/>
      <c r="Y127" s="86" t="s"/>
      <c r="Z127" s="86" t="s"/>
      <c r="AA127" s="86" t="s"/>
    </row>
    <row r="128" spans="1:27" ht="15.5">
      <c r="A128" s="110" t="s">
        <v>382</v>
      </c>
      <c r="B128" s="16" t="s"/>
      <c r="C128" s="41" t="s"/>
      <c r="D128" s="37" t="s">
        <v>342</v>
      </c>
      <c r="E128" s="37" t="s">
        <v>343</v>
      </c>
      <c r="F128" s="87" t="s">
        <v>17</v>
      </c>
      <c r="G128" s="87" t="s">
        <v>17</v>
      </c>
      <c r="H128" s="87" t="s">
        <v>17</v>
      </c>
      <c r="I128" s="57" t="s"/>
      <c r="J128" s="44" t="s">
        <v>219</v>
      </c>
      <c r="K128" s="44" t="s">
        <v>219</v>
      </c>
      <c r="L128" s="57" t="s"/>
      <c r="M128" s="57" t="s"/>
      <c r="N128" s="57" t="s"/>
      <c r="O128" s="57" t="s"/>
      <c r="P128" s="57" t="s"/>
      <c r="Q128" s="57" t="s"/>
      <c r="R128" s="57" t="s"/>
      <c r="S128" s="57" t="s"/>
      <c r="T128" s="57" t="s"/>
      <c r="U128" s="57" t="s"/>
      <c r="V128" s="57" t="s"/>
      <c r="W128" s="57" t="s"/>
      <c r="X128" s="57" t="s"/>
      <c r="Y128" s="57" t="s"/>
      <c r="Z128" s="57" t="s"/>
      <c r="AA128" s="57" t="s"/>
    </row>
    <row r="129" spans="1:27">
      <c r="A129" s="118" t="s">
        <v>383</v>
      </c>
      <c r="B129" s="67" t="s"/>
      <c r="C129" s="41" t="s"/>
      <c r="D129" s="37" t="s">
        <v>342</v>
      </c>
      <c r="E129" s="37" t="s">
        <v>343</v>
      </c>
      <c r="F129" s="87">
        <v>2</v>
      </c>
      <c r="G129" s="87">
        <v>2</v>
      </c>
      <c r="H129" s="87">
        <v>2</v>
      </c>
      <c r="I129" s="57" t="s"/>
      <c r="J129" s="44" t="s">
        <v>219</v>
      </c>
      <c r="K129" s="44" t="s">
        <v>219</v>
      </c>
      <c r="L129" s="57" t="s"/>
      <c r="M129" s="57" t="s"/>
      <c r="N129" s="57" t="s"/>
      <c r="O129" s="57" t="s"/>
      <c r="P129" s="57" t="s"/>
      <c r="Q129" s="57" t="s"/>
      <c r="R129" s="57" t="s"/>
      <c r="S129" s="57" t="s"/>
      <c r="T129" s="57" t="s"/>
      <c r="U129" s="57" t="s"/>
      <c r="V129" s="57" t="s"/>
      <c r="W129" s="57" t="s"/>
      <c r="X129" s="57" t="s"/>
      <c r="Y129" s="57" t="s"/>
      <c r="Z129" s="57" t="s"/>
      <c r="AA129" s="57" t="s"/>
    </row>
    <row r="130" spans="1:27">
      <c r="A130" s="110" t="s">
        <v>384</v>
      </c>
      <c r="B130" s="119" t="s"/>
      <c r="C130" s="54" t="s"/>
      <c r="D130" s="37" t="s">
        <v>342</v>
      </c>
      <c r="E130" s="37" t="s">
        <v>343</v>
      </c>
      <c r="F130" s="87" t="s">
        <v>385</v>
      </c>
      <c r="G130" s="87" t="s">
        <v>385</v>
      </c>
      <c r="H130" s="87" t="s">
        <v>385</v>
      </c>
      <c r="I130" s="57" t="s"/>
      <c r="J130" s="44" t="s">
        <v>219</v>
      </c>
      <c r="K130" s="44" t="s">
        <v>219</v>
      </c>
      <c r="L130" s="57" t="s"/>
      <c r="M130" s="57" t="s"/>
      <c r="N130" s="57" t="s"/>
      <c r="O130" s="57" t="s"/>
      <c r="P130" s="57" t="s"/>
      <c r="Q130" s="57" t="s"/>
      <c r="R130" s="57" t="s"/>
      <c r="S130" s="57" t="s"/>
      <c r="T130" s="57" t="s"/>
      <c r="U130" s="57" t="s"/>
      <c r="V130" s="57" t="s"/>
      <c r="W130" s="57" t="s"/>
      <c r="X130" s="57" t="s"/>
      <c r="Y130" s="57" t="s"/>
      <c r="Z130" s="57" t="s"/>
      <c r="AA130" s="57" t="s"/>
    </row>
    <row r="131" spans="1:27">
      <c r="A131" s="84" t="s">
        <v>386</v>
      </c>
      <c r="B131" s="85" t="s"/>
      <c r="C131" s="61" t="s"/>
      <c r="D131" s="17" t="s"/>
      <c r="E131" s="17" t="s"/>
      <c r="F131" s="86" t="s"/>
      <c r="G131" s="86" t="s"/>
      <c r="H131" s="86" t="s"/>
      <c r="I131" s="86" t="s"/>
      <c r="J131" s="44" t="s"/>
      <c r="K131" s="44" t="s"/>
      <c r="L131" s="86" t="s"/>
      <c r="M131" s="86" t="s"/>
      <c r="N131" s="86" t="s"/>
      <c r="O131" s="86" t="s"/>
      <c r="P131" s="86" t="s"/>
      <c r="Q131" s="86" t="s"/>
      <c r="R131" s="86" t="s"/>
      <c r="S131" s="86" t="s"/>
      <c r="T131" s="86" t="s"/>
      <c r="U131" s="86" t="s"/>
      <c r="V131" s="86" t="s"/>
      <c r="W131" s="86" t="s"/>
      <c r="X131" s="86" t="s"/>
      <c r="Y131" s="86" t="s"/>
      <c r="Z131" s="86" t="s"/>
      <c r="AA131" s="86" t="s"/>
    </row>
    <row r="132" spans="1:27">
      <c r="A132" s="49" t="s">
        <v>387</v>
      </c>
      <c r="B132" s="50" t="s"/>
      <c r="C132" s="41" t="s"/>
      <c r="D132" s="37" t="s">
        <v>254</v>
      </c>
      <c r="E132" s="48" t="s">
        <v>255</v>
      </c>
      <c r="F132" s="106" t="s">
        <v>761</v>
      </c>
      <c r="G132" s="106" t="s">
        <v>761</v>
      </c>
      <c r="H132" s="106" t="s">
        <v>761</v>
      </c>
      <c r="I132" s="76" t="s"/>
      <c r="J132" s="73" t="s">
        <v>219</v>
      </c>
      <c r="K132" s="73" t="s">
        <v>219</v>
      </c>
      <c r="L132" s="76" t="s"/>
      <c r="M132" s="76" t="s"/>
      <c r="N132" s="76" t="s"/>
      <c r="O132" s="76" t="s"/>
      <c r="P132" s="76" t="s"/>
      <c r="Q132" s="76" t="s"/>
      <c r="R132" s="76" t="s"/>
      <c r="S132" s="76" t="s"/>
      <c r="T132" s="76" t="s"/>
      <c r="U132" s="76" t="s"/>
      <c r="V132" s="76" t="s"/>
      <c r="W132" s="76" t="s"/>
      <c r="X132" s="76" t="s"/>
      <c r="Y132" s="76" t="s"/>
      <c r="Z132" s="76" t="s"/>
      <c r="AA132" s="76" t="s"/>
    </row>
    <row r="133" spans="1:27">
      <c r="A133" s="49" t="s">
        <v>388</v>
      </c>
      <c r="B133" s="50" t="s"/>
      <c r="C133" s="41" t="s"/>
      <c r="D133" s="37" t="s">
        <v>254</v>
      </c>
      <c r="E133" s="48" t="s">
        <v>255</v>
      </c>
      <c r="F133" s="120" t="s">
        <v>762</v>
      </c>
      <c r="G133" s="44" t="s">
        <v>762</v>
      </c>
      <c r="H133" s="44" t="s">
        <v>762</v>
      </c>
      <c r="I133" s="98" t="s"/>
      <c r="J133" s="73" t="s">
        <v>219</v>
      </c>
      <c r="K133" s="73" t="s">
        <v>219</v>
      </c>
      <c r="L133" s="44" t="s"/>
      <c r="M133" s="44" t="s"/>
      <c r="N133" s="44" t="s"/>
      <c r="O133" s="44" t="s"/>
      <c r="P133" s="44" t="s"/>
      <c r="Q133" s="44" t="s"/>
      <c r="R133" s="44" t="s"/>
      <c r="S133" s="44" t="s"/>
      <c r="T133" s="44" t="s"/>
      <c r="U133" s="44" t="s"/>
      <c r="V133" s="44" t="s"/>
      <c r="W133" s="44" t="s"/>
      <c r="X133" s="44" t="s"/>
      <c r="Y133" s="44" t="s"/>
      <c r="Z133" s="44" t="s"/>
      <c r="AA133" s="44" t="s"/>
    </row>
    <row r="134" spans="1:27">
      <c r="A134" s="121" t="s">
        <v>389</v>
      </c>
      <c r="B134" s="121" t="s"/>
      <c r="C134" s="97" t="s">
        <v>390</v>
      </c>
      <c r="D134" s="37" t="s">
        <v>254</v>
      </c>
      <c r="E134" s="48" t="s">
        <v>255</v>
      </c>
      <c r="F134" s="87" t="s">
        <v>16</v>
      </c>
      <c r="G134" s="87" t="s">
        <v>16</v>
      </c>
      <c r="H134" s="87" t="s">
        <v>16</v>
      </c>
      <c r="I134" s="57" t="s"/>
      <c r="J134" s="73" t="s">
        <v>219</v>
      </c>
      <c r="K134" s="73" t="s">
        <v>219</v>
      </c>
      <c r="L134" s="57" t="s"/>
      <c r="M134" s="57" t="s"/>
      <c r="N134" s="57" t="s"/>
      <c r="O134" s="57" t="s"/>
      <c r="P134" s="57" t="s"/>
      <c r="Q134" s="57" t="s"/>
      <c r="R134" s="57" t="s"/>
      <c r="S134" s="57" t="s"/>
      <c r="T134" s="57" t="s"/>
      <c r="U134" s="57" t="s"/>
      <c r="V134" s="57" t="s"/>
      <c r="W134" s="57" t="s"/>
      <c r="X134" s="57" t="s"/>
      <c r="Y134" s="57" t="s"/>
      <c r="Z134" s="57" t="s"/>
      <c r="AA134" s="57" t="s"/>
    </row>
    <row r="135" spans="1:27">
      <c r="A135" s="121" t="s"/>
      <c r="B135" s="122" t="s"/>
      <c r="C135" s="97" t="s">
        <v>391</v>
      </c>
      <c r="D135" s="37" t="s">
        <v>254</v>
      </c>
      <c r="E135" s="48" t="s">
        <v>255</v>
      </c>
      <c r="F135" s="87" t="s">
        <v>16</v>
      </c>
      <c r="G135" s="87" t="s">
        <v>16</v>
      </c>
      <c r="H135" s="87" t="s">
        <v>16</v>
      </c>
      <c r="I135" s="57" t="s"/>
      <c r="J135" s="73" t="s">
        <v>219</v>
      </c>
      <c r="K135" s="73" t="s">
        <v>219</v>
      </c>
      <c r="L135" s="57" t="s"/>
      <c r="M135" s="57" t="s"/>
      <c r="N135" s="57" t="s"/>
      <c r="O135" s="57" t="s"/>
      <c r="P135" s="57" t="s"/>
      <c r="Q135" s="57" t="s"/>
      <c r="R135" s="57" t="s"/>
      <c r="S135" s="57" t="s"/>
      <c r="T135" s="57" t="s"/>
      <c r="U135" s="57" t="s"/>
      <c r="V135" s="57" t="s"/>
      <c r="W135" s="57" t="s"/>
      <c r="X135" s="57" t="s"/>
      <c r="Y135" s="57" t="s"/>
      <c r="Z135" s="57" t="s"/>
      <c r="AA135" s="57" t="s"/>
    </row>
    <row r="136" spans="1:27">
      <c r="A136" s="121" t="s"/>
      <c r="B136" s="121" t="s"/>
      <c r="C136" s="97" t="s">
        <v>392</v>
      </c>
      <c r="D136" s="37" t="s">
        <v>254</v>
      </c>
      <c r="E136" s="48" t="s">
        <v>255</v>
      </c>
      <c r="F136" s="87" t="s">
        <v>16</v>
      </c>
      <c r="G136" s="87" t="s">
        <v>16</v>
      </c>
      <c r="H136" s="87" t="s">
        <v>16</v>
      </c>
      <c r="I136" s="57" t="s"/>
      <c r="J136" s="73" t="s">
        <v>219</v>
      </c>
      <c r="K136" s="73" t="s">
        <v>219</v>
      </c>
      <c r="L136" s="57" t="s"/>
      <c r="M136" s="57" t="s"/>
      <c r="N136" s="57" t="s"/>
      <c r="O136" s="57" t="s"/>
      <c r="P136" s="57" t="s"/>
      <c r="Q136" s="57" t="s"/>
      <c r="R136" s="57" t="s"/>
      <c r="S136" s="57" t="s"/>
      <c r="T136" s="57" t="s"/>
      <c r="U136" s="57" t="s"/>
      <c r="V136" s="57" t="s"/>
      <c r="W136" s="57" t="s"/>
      <c r="X136" s="57" t="s"/>
      <c r="Y136" s="57" t="s"/>
      <c r="Z136" s="57" t="s"/>
      <c r="AA136" s="57" t="s"/>
    </row>
    <row r="137" spans="1:27">
      <c r="A137" s="121" t="s"/>
      <c r="B137" s="121" t="s"/>
      <c r="C137" s="97" t="s">
        <v>393</v>
      </c>
      <c r="D137" s="37" t="s">
        <v>254</v>
      </c>
      <c r="E137" s="48" t="s">
        <v>255</v>
      </c>
      <c r="F137" s="87" t="s">
        <v>16</v>
      </c>
      <c r="G137" s="87" t="s">
        <v>16</v>
      </c>
      <c r="H137" s="87" t="s">
        <v>16</v>
      </c>
      <c r="I137" s="57" t="s"/>
      <c r="J137" s="73" t="s">
        <v>219</v>
      </c>
      <c r="K137" s="73" t="s">
        <v>219</v>
      </c>
      <c r="L137" s="57" t="s"/>
      <c r="M137" s="57" t="s"/>
      <c r="N137" s="57" t="s"/>
      <c r="O137" s="57" t="s"/>
      <c r="P137" s="57" t="s"/>
      <c r="Q137" s="57" t="s"/>
      <c r="R137" s="57" t="s"/>
      <c r="S137" s="57" t="s"/>
      <c r="T137" s="57" t="s"/>
      <c r="U137" s="57" t="s"/>
      <c r="V137" s="57" t="s"/>
      <c r="W137" s="57" t="s"/>
      <c r="X137" s="57" t="s"/>
      <c r="Y137" s="57" t="s"/>
      <c r="Z137" s="57" t="s"/>
      <c r="AA137" s="57" t="s"/>
    </row>
    <row r="138" spans="1:27">
      <c r="A138" s="121" t="s"/>
      <c r="B138" s="122" t="s"/>
      <c r="C138" s="97" t="s">
        <v>394</v>
      </c>
      <c r="D138" s="37" t="s">
        <v>254</v>
      </c>
      <c r="E138" s="48" t="s">
        <v>255</v>
      </c>
      <c r="F138" s="87" t="s">
        <v>16</v>
      </c>
      <c r="G138" s="87" t="s">
        <v>16</v>
      </c>
      <c r="H138" s="87" t="s">
        <v>16</v>
      </c>
      <c r="I138" s="57" t="s"/>
      <c r="J138" s="73" t="s">
        <v>219</v>
      </c>
      <c r="K138" s="73" t="s">
        <v>219</v>
      </c>
      <c r="L138" s="57" t="s"/>
      <c r="M138" s="57" t="s"/>
      <c r="N138" s="57" t="s"/>
      <c r="O138" s="57" t="s"/>
      <c r="P138" s="57" t="s"/>
      <c r="Q138" s="57" t="s"/>
      <c r="R138" s="57" t="s"/>
      <c r="S138" s="57" t="s"/>
      <c r="T138" s="57" t="s"/>
      <c r="U138" s="57" t="s"/>
      <c r="V138" s="57" t="s"/>
      <c r="W138" s="57" t="s"/>
      <c r="X138" s="57" t="s"/>
      <c r="Y138" s="57" t="s"/>
      <c r="Z138" s="57" t="s"/>
      <c r="AA138" s="57" t="s"/>
    </row>
    <row r="139" spans="1:27">
      <c r="A139" s="121" t="s"/>
      <c r="B139" s="121" t="s"/>
      <c r="C139" s="97" t="s">
        <v>395</v>
      </c>
      <c r="D139" s="37" t="s">
        <v>254</v>
      </c>
      <c r="E139" s="48" t="s">
        <v>255</v>
      </c>
      <c r="F139" s="87" t="s">
        <v>17</v>
      </c>
      <c r="G139" s="87" t="s">
        <v>17</v>
      </c>
      <c r="H139" s="87" t="s">
        <v>17</v>
      </c>
      <c r="I139" s="57" t="s"/>
      <c r="J139" s="73" t="s">
        <v>219</v>
      </c>
      <c r="K139" s="73" t="s">
        <v>219</v>
      </c>
      <c r="L139" s="57" t="s"/>
      <c r="M139" s="57" t="s"/>
      <c r="N139" s="57" t="s"/>
      <c r="O139" s="57" t="s"/>
      <c r="P139" s="57" t="s"/>
      <c r="Q139" s="57" t="s"/>
      <c r="R139" s="57" t="s"/>
      <c r="S139" s="57" t="s"/>
      <c r="T139" s="57" t="s"/>
      <c r="U139" s="57" t="s"/>
      <c r="V139" s="57" t="s"/>
      <c r="W139" s="57" t="s"/>
      <c r="X139" s="57" t="s"/>
      <c r="Y139" s="57" t="s"/>
      <c r="Z139" s="57" t="s"/>
      <c r="AA139" s="57" t="s"/>
    </row>
    <row r="140" spans="1:27">
      <c r="A140" s="121" t="s"/>
      <c r="B140" s="121" t="s"/>
      <c r="C140" s="97" t="s">
        <v>396</v>
      </c>
      <c r="D140" s="37" t="s">
        <v>254</v>
      </c>
      <c r="E140" s="48" t="s">
        <v>255</v>
      </c>
      <c r="F140" s="87" t="s">
        <v>16</v>
      </c>
      <c r="G140" s="87" t="s">
        <v>16</v>
      </c>
      <c r="H140" s="87" t="s">
        <v>16</v>
      </c>
      <c r="I140" s="57" t="s"/>
      <c r="J140" s="73" t="s">
        <v>219</v>
      </c>
      <c r="K140" s="73" t="s">
        <v>219</v>
      </c>
      <c r="L140" s="57" t="s"/>
      <c r="M140" s="57" t="s"/>
      <c r="N140" s="57" t="s"/>
      <c r="O140" s="57" t="s"/>
      <c r="P140" s="57" t="s"/>
      <c r="Q140" s="57" t="s"/>
      <c r="R140" s="57" t="s"/>
      <c r="S140" s="57" t="s"/>
      <c r="T140" s="57" t="s"/>
      <c r="U140" s="57" t="s"/>
      <c r="V140" s="57" t="s"/>
      <c r="W140" s="57" t="s"/>
      <c r="X140" s="57" t="s"/>
      <c r="Y140" s="57" t="s"/>
      <c r="Z140" s="57" t="s"/>
      <c r="AA140" s="57" t="s"/>
    </row>
    <row r="141" spans="1:27">
      <c r="A141" s="121" t="s"/>
      <c r="B141" s="121" t="s"/>
      <c r="C141" s="97" t="s">
        <v>397</v>
      </c>
      <c r="D141" s="37" t="s">
        <v>254</v>
      </c>
      <c r="E141" s="48" t="s">
        <v>255</v>
      </c>
      <c r="F141" s="87" t="s">
        <v>16</v>
      </c>
      <c r="G141" s="87" t="s">
        <v>16</v>
      </c>
      <c r="H141" s="87" t="s">
        <v>16</v>
      </c>
      <c r="I141" s="98" t="s"/>
      <c r="J141" s="73" t="s">
        <v>219</v>
      </c>
      <c r="K141" s="73" t="s">
        <v>219</v>
      </c>
      <c r="L141" s="57" t="s"/>
      <c r="M141" s="57" t="s"/>
      <c r="N141" s="57" t="s"/>
      <c r="O141" s="57" t="s"/>
      <c r="P141" s="57" t="s"/>
      <c r="Q141" s="57" t="s"/>
      <c r="R141" s="57" t="s"/>
      <c r="S141" s="57" t="s"/>
      <c r="T141" s="57" t="s"/>
      <c r="U141" s="57" t="s"/>
      <c r="V141" s="57" t="s"/>
      <c r="W141" s="57" t="s"/>
      <c r="X141" s="57" t="s"/>
      <c r="Y141" s="57" t="s"/>
      <c r="Z141" s="57" t="s"/>
      <c r="AA141" s="57" t="s"/>
    </row>
    <row r="142" spans="1:27">
      <c r="A142" s="121" t="s"/>
      <c r="B142" s="121" t="s"/>
      <c r="C142" s="97" t="s">
        <v>398</v>
      </c>
      <c r="D142" s="37" t="s">
        <v>254</v>
      </c>
      <c r="E142" s="48" t="s">
        <v>255</v>
      </c>
      <c r="F142" s="87" t="s">
        <v>16</v>
      </c>
      <c r="G142" s="87" t="s">
        <v>16</v>
      </c>
      <c r="H142" s="87" t="s">
        <v>16</v>
      </c>
      <c r="I142" s="57" t="s"/>
      <c r="J142" s="73" t="s">
        <v>219</v>
      </c>
      <c r="K142" s="73" t="s">
        <v>219</v>
      </c>
      <c r="L142" s="57" t="s"/>
      <c r="M142" s="57" t="s"/>
      <c r="N142" s="57" t="s"/>
      <c r="O142" s="57" t="s"/>
      <c r="P142" s="57" t="s"/>
      <c r="Q142" s="57" t="s"/>
      <c r="R142" s="57" t="s"/>
      <c r="S142" s="57" t="s"/>
      <c r="T142" s="57" t="s"/>
      <c r="U142" s="57" t="s"/>
      <c r="V142" s="57" t="s"/>
      <c r="W142" s="57" t="s"/>
      <c r="X142" s="57" t="s"/>
      <c r="Y142" s="57" t="s"/>
      <c r="Z142" s="57" t="s"/>
      <c r="AA142" s="57" t="s"/>
    </row>
    <row r="143" spans="1:27">
      <c r="A143" s="121" t="s"/>
      <c r="B143" s="121" t="s"/>
      <c r="C143" s="97" t="s">
        <v>399</v>
      </c>
      <c r="D143" s="37" t="s">
        <v>254</v>
      </c>
      <c r="E143" s="48" t="s">
        <v>255</v>
      </c>
      <c r="F143" s="87" t="s">
        <v>16</v>
      </c>
      <c r="G143" s="87" t="s">
        <v>16</v>
      </c>
      <c r="H143" s="87" t="s">
        <v>16</v>
      </c>
      <c r="I143" s="57" t="s"/>
      <c r="J143" s="73" t="s">
        <v>219</v>
      </c>
      <c r="K143" s="73" t="s">
        <v>219</v>
      </c>
      <c r="L143" s="57" t="s"/>
      <c r="M143" s="57" t="s"/>
      <c r="N143" s="57" t="s"/>
      <c r="O143" s="57" t="s"/>
      <c r="P143" s="57" t="s"/>
      <c r="Q143" s="57" t="s"/>
      <c r="R143" s="57" t="s"/>
      <c r="S143" s="57" t="s"/>
      <c r="T143" s="57" t="s"/>
      <c r="U143" s="57" t="s"/>
      <c r="V143" s="57" t="s"/>
      <c r="W143" s="57" t="s"/>
      <c r="X143" s="57" t="s"/>
      <c r="Y143" s="57" t="s"/>
      <c r="Z143" s="57" t="s"/>
      <c r="AA143" s="57" t="s"/>
    </row>
    <row r="144" spans="1:27">
      <c r="A144" s="121" t="s"/>
      <c r="B144" s="121" t="s"/>
      <c r="C144" s="97" t="s">
        <v>400</v>
      </c>
      <c r="D144" s="37" t="s">
        <v>272</v>
      </c>
      <c r="E144" s="48" t="s">
        <v>273</v>
      </c>
      <c r="F144" s="87" t="s">
        <v>17</v>
      </c>
      <c r="G144" s="87" t="s">
        <v>17</v>
      </c>
      <c r="H144" s="87" t="s">
        <v>17</v>
      </c>
      <c r="I144" s="57" t="s"/>
      <c r="J144" s="44" t="s">
        <v>219</v>
      </c>
      <c r="K144" s="44" t="s">
        <v>219</v>
      </c>
      <c r="L144" s="57" t="s"/>
      <c r="M144" s="57" t="s"/>
      <c r="N144" s="57" t="s"/>
      <c r="O144" s="57" t="s"/>
      <c r="P144" s="57" t="s"/>
      <c r="Q144" s="57" t="s"/>
      <c r="R144" s="57" t="s"/>
      <c r="S144" s="57" t="s"/>
      <c r="T144" s="57" t="s"/>
      <c r="U144" s="57" t="s"/>
      <c r="V144" s="57" t="s"/>
      <c r="W144" s="57" t="s"/>
      <c r="X144" s="57" t="s"/>
      <c r="Y144" s="57" t="s"/>
      <c r="Z144" s="57" t="s"/>
      <c r="AA144" s="57" t="s"/>
    </row>
    <row r="145" spans="1:27">
      <c r="A145" s="121" t="s"/>
      <c r="B145" s="121" t="s"/>
      <c r="C145" s="97" t="s">
        <v>401</v>
      </c>
      <c r="D145" s="37" t="s">
        <v>272</v>
      </c>
      <c r="E145" s="48" t="s">
        <v>273</v>
      </c>
      <c r="F145" s="87" t="s">
        <v>17</v>
      </c>
      <c r="G145" s="87" t="s">
        <v>17</v>
      </c>
      <c r="H145" s="87" t="s">
        <v>17</v>
      </c>
      <c r="I145" s="57" t="s"/>
      <c r="J145" s="44" t="s">
        <v>219</v>
      </c>
      <c r="K145" s="44" t="s">
        <v>219</v>
      </c>
      <c r="L145" s="57" t="s"/>
      <c r="M145" s="57" t="s"/>
      <c r="N145" s="57" t="s"/>
      <c r="O145" s="57" t="s"/>
      <c r="P145" s="57" t="s"/>
      <c r="Q145" s="57" t="s"/>
      <c r="R145" s="57" t="s"/>
      <c r="S145" s="57" t="s"/>
      <c r="T145" s="57" t="s"/>
      <c r="U145" s="57" t="s"/>
      <c r="V145" s="57" t="s"/>
      <c r="W145" s="57" t="s"/>
      <c r="X145" s="57" t="s"/>
      <c r="Y145" s="57" t="s"/>
      <c r="Z145" s="57" t="s"/>
      <c r="AA145" s="57" t="s"/>
    </row>
    <row r="146" spans="1:27">
      <c r="A146" s="121" t="s">
        <v>402</v>
      </c>
      <c r="B146" s="121" t="s"/>
      <c r="C146" s="97" t="s"/>
      <c r="D146" s="37" t="s">
        <v>272</v>
      </c>
      <c r="E146" s="48" t="s">
        <v>273</v>
      </c>
      <c r="F146" s="87" t="s">
        <v>17</v>
      </c>
      <c r="G146" s="87" t="s">
        <v>17</v>
      </c>
      <c r="H146" s="87" t="s">
        <v>17</v>
      </c>
      <c r="I146" s="57" t="s"/>
      <c r="J146" s="44" t="s">
        <v>219</v>
      </c>
      <c r="K146" s="44" t="s">
        <v>219</v>
      </c>
      <c r="L146" s="57" t="s"/>
      <c r="M146" s="57" t="s"/>
      <c r="N146" s="57" t="s"/>
      <c r="O146" s="57" t="s"/>
      <c r="P146" s="57" t="s"/>
      <c r="Q146" s="57" t="s"/>
      <c r="R146" s="57" t="s"/>
      <c r="S146" s="57" t="s"/>
      <c r="T146" s="57" t="s"/>
      <c r="U146" s="57" t="s"/>
      <c r="V146" s="57" t="s"/>
      <c r="W146" s="57" t="s"/>
      <c r="X146" s="57" t="s"/>
      <c r="Y146" s="57" t="s"/>
      <c r="Z146" s="57" t="s"/>
      <c r="AA146" s="57" t="s"/>
    </row>
    <row r="147" spans="1:27">
      <c r="A147" s="121" t="s">
        <v>403</v>
      </c>
      <c r="B147" s="121" t="s"/>
      <c r="C147" s="97" t="s">
        <v>404</v>
      </c>
      <c r="D147" s="37" t="s">
        <v>272</v>
      </c>
      <c r="E147" s="48" t="s">
        <v>273</v>
      </c>
      <c r="F147" s="87" t="s">
        <v>16</v>
      </c>
      <c r="G147" s="87" t="s">
        <v>16</v>
      </c>
      <c r="H147" s="87" t="s">
        <v>16</v>
      </c>
      <c r="I147" s="57" t="s"/>
      <c r="J147" s="44" t="s">
        <v>219</v>
      </c>
      <c r="K147" s="44" t="s">
        <v>219</v>
      </c>
      <c r="L147" s="57" t="s"/>
      <c r="M147" s="57" t="s"/>
      <c r="N147" s="57" t="s"/>
      <c r="O147" s="57" t="s"/>
      <c r="P147" s="57" t="s"/>
      <c r="Q147" s="57" t="s"/>
      <c r="R147" s="57" t="s"/>
      <c r="S147" s="57" t="s"/>
      <c r="T147" s="57" t="s"/>
      <c r="U147" s="57" t="s"/>
      <c r="V147" s="57" t="s"/>
      <c r="W147" s="57" t="s"/>
      <c r="X147" s="57" t="s"/>
      <c r="Y147" s="57" t="s"/>
      <c r="Z147" s="57" t="s"/>
      <c r="AA147" s="57" t="s"/>
    </row>
    <row r="148" spans="1:27" ht="15.5">
      <c r="A148" s="123" t="s">
        <v>405</v>
      </c>
      <c r="B148" s="121" t="s"/>
      <c r="C148" s="41" t="s"/>
      <c r="D148" s="37" t="s">
        <v>254</v>
      </c>
      <c r="E148" s="48" t="s">
        <v>255</v>
      </c>
      <c r="F148" s="87" t="s">
        <v>16</v>
      </c>
      <c r="G148" s="87" t="s">
        <v>16</v>
      </c>
      <c r="H148" s="87" t="s">
        <v>16</v>
      </c>
      <c r="I148" s="124" t="s">
        <v>406</v>
      </c>
      <c r="J148" s="73" t="s">
        <v>219</v>
      </c>
      <c r="K148" s="73" t="s">
        <v>219</v>
      </c>
      <c r="L148" s="57" t="s"/>
      <c r="M148" s="57" t="s"/>
      <c r="N148" s="57" t="s"/>
      <c r="O148" s="57" t="s"/>
      <c r="P148" s="57" t="s"/>
      <c r="Q148" s="57" t="s"/>
      <c r="R148" s="57" t="s"/>
      <c r="S148" s="57" t="s"/>
      <c r="T148" s="57" t="s"/>
      <c r="U148" s="57" t="s"/>
      <c r="V148" s="57" t="s"/>
      <c r="W148" s="57" t="s"/>
      <c r="X148" s="57" t="s"/>
      <c r="Y148" s="57" t="s"/>
      <c r="Z148" s="57" t="s"/>
      <c r="AA148" s="57" t="s"/>
    </row>
    <row r="149" spans="1:27" ht="15.5">
      <c r="A149" s="49" t="s">
        <v>407</v>
      </c>
      <c r="B149" s="50" t="s"/>
      <c r="C149" s="41" t="s"/>
      <c r="D149" s="37" t="s">
        <v>254</v>
      </c>
      <c r="E149" s="48" t="s">
        <v>255</v>
      </c>
      <c r="F149" s="44" t="s">
        <v>408</v>
      </c>
      <c r="G149" s="44" t="s">
        <v>408</v>
      </c>
      <c r="H149" s="44" t="s">
        <v>408</v>
      </c>
      <c r="I149" s="57" t="s"/>
      <c r="J149" s="73" t="s">
        <v>219</v>
      </c>
      <c r="K149" s="73" t="s">
        <v>219</v>
      </c>
      <c r="L149" s="57" t="s"/>
      <c r="M149" s="57" t="s"/>
      <c r="N149" s="57" t="s"/>
      <c r="O149" s="57" t="s"/>
      <c r="P149" s="57" t="s"/>
      <c r="Q149" s="57" t="s"/>
      <c r="R149" s="57" t="s"/>
      <c r="S149" s="57" t="s"/>
      <c r="T149" s="57" t="s"/>
      <c r="U149" s="57" t="s"/>
      <c r="V149" s="57" t="s"/>
      <c r="W149" s="57" t="s"/>
      <c r="X149" s="57" t="s"/>
      <c r="Y149" s="57" t="s"/>
      <c r="Z149" s="57" t="s"/>
      <c r="AA149" s="57" t="s"/>
    </row>
    <row r="150" spans="1:27" ht="15.5">
      <c r="A150" s="52" t="s">
        <v>12</v>
      </c>
      <c r="B150" s="52" t="s"/>
      <c r="C150" s="97" t="s"/>
      <c r="D150" s="37" t="s">
        <v>272</v>
      </c>
      <c r="E150" s="48" t="s">
        <v>273</v>
      </c>
      <c r="F150" s="87" t="s">
        <v>107</v>
      </c>
      <c r="G150" s="87" t="s">
        <v>107</v>
      </c>
      <c r="H150" s="87" t="s">
        <v>107</v>
      </c>
      <c r="I150" s="57" t="s"/>
      <c r="J150" s="44" t="s">
        <v>219</v>
      </c>
      <c r="K150" s="44" t="s">
        <v>219</v>
      </c>
      <c r="L150" s="57" t="s"/>
      <c r="M150" s="57" t="s"/>
      <c r="N150" s="57" t="s"/>
      <c r="O150" s="57" t="s"/>
      <c r="P150" s="57" t="s"/>
      <c r="Q150" s="57" t="s"/>
      <c r="R150" s="57" t="s"/>
      <c r="S150" s="57" t="s"/>
      <c r="T150" s="57" t="s"/>
      <c r="U150" s="57" t="s"/>
      <c r="V150" s="57" t="s"/>
      <c r="W150" s="57" t="s"/>
      <c r="X150" s="57" t="s"/>
      <c r="Y150" s="57" t="s"/>
      <c r="Z150" s="57" t="s"/>
      <c r="AA150" s="57" t="s"/>
    </row>
    <row r="151" spans="1:27" ht="15.5">
      <c r="A151" s="52" t="s">
        <v>409</v>
      </c>
      <c r="B151" s="121" t="s"/>
      <c r="C151" s="125" t="s"/>
      <c r="D151" s="37" t="s">
        <v>272</v>
      </c>
      <c r="E151" s="48" t="s">
        <v>273</v>
      </c>
      <c r="F151" s="83" t="s">
        <v>410</v>
      </c>
      <c r="G151" s="83" t="s">
        <v>410</v>
      </c>
      <c r="H151" s="83" t="s">
        <v>410</v>
      </c>
      <c r="I151" s="83" t="s"/>
      <c r="J151" s="44" t="s">
        <v>219</v>
      </c>
      <c r="K151" s="44" t="s">
        <v>219</v>
      </c>
      <c r="L151" s="83" t="s"/>
      <c r="M151" s="83" t="s"/>
      <c r="N151" s="83" t="s"/>
      <c r="O151" s="83" t="s"/>
      <c r="P151" s="83" t="s"/>
      <c r="Q151" s="83" t="s"/>
      <c r="R151" s="83" t="s"/>
      <c r="S151" s="83" t="s"/>
      <c r="T151" s="83" t="s"/>
      <c r="U151" s="83" t="s"/>
      <c r="V151" s="83" t="s"/>
      <c r="W151" s="83" t="s"/>
      <c r="X151" s="83" t="s"/>
      <c r="Y151" s="83" t="s"/>
      <c r="Z151" s="83" t="s"/>
      <c r="AA151" s="83" t="s"/>
    </row>
    <row r="152" spans="1:27" ht="15.5">
      <c r="A152" s="66" t="s">
        <v>411</v>
      </c>
      <c r="B152" s="67" t="s"/>
      <c r="C152" s="41" t="s"/>
      <c r="D152" s="37" t="s">
        <v>254</v>
      </c>
      <c r="E152" s="48" t="s">
        <v>255</v>
      </c>
      <c r="F152" s="87" t="s">
        <v>16</v>
      </c>
      <c r="G152" s="87" t="s">
        <v>16</v>
      </c>
      <c r="H152" s="87" t="s">
        <v>16</v>
      </c>
      <c r="I152" s="57" t="s"/>
      <c r="J152" s="73" t="s">
        <v>219</v>
      </c>
      <c r="K152" s="73" t="s">
        <v>219</v>
      </c>
      <c r="L152" s="57" t="s"/>
      <c r="M152" s="57" t="s"/>
      <c r="N152" s="57" t="s"/>
      <c r="O152" s="57" t="s"/>
      <c r="P152" s="57" t="s"/>
      <c r="Q152" s="57" t="s"/>
      <c r="R152" s="57" t="s"/>
      <c r="S152" s="57" t="s"/>
      <c r="T152" s="57" t="s"/>
      <c r="U152" s="57" t="s"/>
      <c r="V152" s="57" t="s"/>
      <c r="W152" s="57" t="s"/>
      <c r="X152" s="57" t="s"/>
      <c r="Y152" s="57" t="s"/>
      <c r="Z152" s="57" t="s"/>
      <c r="AA152" s="57" t="s"/>
    </row>
    <row r="153" spans="1:27">
      <c r="A153" s="52" t="s">
        <v>412</v>
      </c>
      <c r="B153" s="52" t="s"/>
      <c r="C153" s="41" t="s"/>
      <c r="D153" s="37" t="s">
        <v>254</v>
      </c>
      <c r="E153" s="48" t="s">
        <v>255</v>
      </c>
      <c r="F153" s="87" t="s">
        <v>16</v>
      </c>
      <c r="G153" s="87" t="s">
        <v>16</v>
      </c>
      <c r="H153" s="87" t="s">
        <v>16</v>
      </c>
      <c r="I153" s="57" t="s"/>
      <c r="J153" s="73" t="s">
        <v>219</v>
      </c>
      <c r="K153" s="73" t="s">
        <v>219</v>
      </c>
      <c r="L153" s="57" t="s"/>
      <c r="M153" s="57" t="s"/>
      <c r="N153" s="57" t="s"/>
      <c r="O153" s="57" t="s"/>
      <c r="P153" s="57" t="s"/>
      <c r="Q153" s="57" t="s"/>
      <c r="R153" s="57" t="s"/>
      <c r="S153" s="57" t="s"/>
      <c r="T153" s="57" t="s"/>
      <c r="U153" s="57" t="s"/>
      <c r="V153" s="57" t="s"/>
      <c r="W153" s="57" t="s"/>
      <c r="X153" s="57" t="s"/>
      <c r="Y153" s="57" t="s"/>
      <c r="Z153" s="57" t="s"/>
      <c r="AA153" s="57" t="s"/>
    </row>
    <row r="154" spans="1:27">
      <c r="A154" s="52" t="s">
        <v>413</v>
      </c>
      <c r="B154" s="52" t="s"/>
      <c r="C154" s="41" t="s"/>
      <c r="D154" s="37" t="s">
        <v>254</v>
      </c>
      <c r="E154" s="48" t="s">
        <v>255</v>
      </c>
      <c r="F154" s="87" t="s">
        <v>16</v>
      </c>
      <c r="G154" s="87" t="s">
        <v>16</v>
      </c>
      <c r="H154" s="87" t="s">
        <v>16</v>
      </c>
      <c r="I154" s="57" t="s"/>
      <c r="J154" s="73" t="s">
        <v>219</v>
      </c>
      <c r="K154" s="73" t="s">
        <v>219</v>
      </c>
      <c r="L154" s="57" t="s"/>
      <c r="M154" s="57" t="s"/>
      <c r="N154" s="57" t="s"/>
      <c r="O154" s="57" t="s"/>
      <c r="P154" s="57" t="s"/>
      <c r="Q154" s="57" t="s"/>
      <c r="R154" s="57" t="s"/>
      <c r="S154" s="57" t="s"/>
      <c r="T154" s="57" t="s"/>
      <c r="U154" s="57" t="s"/>
      <c r="V154" s="57" t="s"/>
      <c r="W154" s="57" t="s"/>
      <c r="X154" s="57" t="s"/>
      <c r="Y154" s="57" t="s"/>
      <c r="Z154" s="57" t="s"/>
      <c r="AA154" s="57" t="s"/>
    </row>
    <row r="155" spans="1:27">
      <c r="A155" s="52" t="s">
        <v>414</v>
      </c>
      <c r="B155" s="52" t="s"/>
      <c r="C155" s="41" t="s"/>
      <c r="D155" s="37" t="s">
        <v>254</v>
      </c>
      <c r="E155" s="48" t="s">
        <v>255</v>
      </c>
      <c r="F155" s="87" t="s">
        <v>16</v>
      </c>
      <c r="G155" s="87" t="s">
        <v>16</v>
      </c>
      <c r="H155" s="87" t="s">
        <v>16</v>
      </c>
      <c r="I155" s="126" t="s"/>
      <c r="J155" s="73" t="s">
        <v>219</v>
      </c>
      <c r="K155" s="73" t="s">
        <v>219</v>
      </c>
      <c r="L155" s="126" t="s"/>
      <c r="M155" s="126" t="s"/>
      <c r="N155" s="126" t="s"/>
      <c r="O155" s="126" t="s"/>
      <c r="P155" s="126" t="s"/>
      <c r="Q155" s="126" t="s"/>
      <c r="R155" s="126" t="s"/>
      <c r="S155" s="126" t="s"/>
      <c r="T155" s="126" t="s"/>
      <c r="U155" s="126" t="s"/>
      <c r="V155" s="126" t="s"/>
      <c r="W155" s="126" t="s"/>
      <c r="X155" s="126" t="s"/>
      <c r="Y155" s="126" t="s"/>
      <c r="Z155" s="126" t="s"/>
      <c r="AA155" s="126" t="s"/>
    </row>
    <row r="156" spans="1:27">
      <c r="A156" s="52" t="s">
        <v>415</v>
      </c>
      <c r="B156" s="52" t="s"/>
      <c r="C156" s="41" t="s"/>
      <c r="D156" s="37" t="s">
        <v>254</v>
      </c>
      <c r="E156" s="48" t="s">
        <v>255</v>
      </c>
      <c r="F156" s="87" t="s">
        <v>16</v>
      </c>
      <c r="G156" s="87" t="s">
        <v>16</v>
      </c>
      <c r="H156" s="87" t="s">
        <v>16</v>
      </c>
      <c r="I156" s="126" t="s"/>
      <c r="J156" s="73" t="s">
        <v>219</v>
      </c>
      <c r="K156" s="73" t="s">
        <v>219</v>
      </c>
      <c r="L156" s="126" t="s"/>
      <c r="M156" s="126" t="s"/>
      <c r="N156" s="126" t="s"/>
      <c r="O156" s="126" t="s"/>
      <c r="P156" s="126" t="s"/>
      <c r="Q156" s="126" t="s"/>
      <c r="R156" s="126" t="s"/>
      <c r="S156" s="126" t="s"/>
      <c r="T156" s="126" t="s"/>
      <c r="U156" s="126" t="s"/>
      <c r="V156" s="126" t="s"/>
      <c r="W156" s="126" t="s"/>
      <c r="X156" s="126" t="s"/>
      <c r="Y156" s="126" t="s"/>
      <c r="Z156" s="126" t="s"/>
      <c r="AA156" s="126" t="s"/>
    </row>
    <row r="157" spans="1:27">
      <c r="A157" s="52" t="s">
        <v>416</v>
      </c>
      <c r="B157" s="52" t="s"/>
      <c r="C157" s="41" t="s"/>
      <c r="D157" s="37" t="s">
        <v>254</v>
      </c>
      <c r="E157" s="48" t="s">
        <v>255</v>
      </c>
      <c r="F157" s="87" t="s">
        <v>16</v>
      </c>
      <c r="G157" s="87" t="s">
        <v>16</v>
      </c>
      <c r="H157" s="87" t="s">
        <v>16</v>
      </c>
      <c r="I157" s="126" t="s"/>
      <c r="J157" s="73" t="s">
        <v>219</v>
      </c>
      <c r="K157" s="73" t="s">
        <v>219</v>
      </c>
      <c r="L157" s="126" t="s"/>
      <c r="M157" s="126" t="s"/>
      <c r="N157" s="126" t="s"/>
      <c r="O157" s="126" t="s"/>
      <c r="P157" s="126" t="s"/>
      <c r="Q157" s="126" t="s"/>
      <c r="R157" s="126" t="s"/>
      <c r="S157" s="126" t="s"/>
      <c r="T157" s="126" t="s"/>
      <c r="U157" s="126" t="s"/>
      <c r="V157" s="126" t="s"/>
      <c r="W157" s="126" t="s"/>
      <c r="X157" s="126" t="s"/>
      <c r="Y157" s="126" t="s"/>
      <c r="Z157" s="126" t="s"/>
      <c r="AA157" s="126" t="s"/>
    </row>
    <row r="158" spans="1:27">
      <c r="A158" s="118" t="s">
        <v>417</v>
      </c>
      <c r="B158" s="67" t="s"/>
      <c r="C158" s="127" t="s"/>
      <c r="D158" s="37" t="s">
        <v>254</v>
      </c>
      <c r="E158" s="48" t="s">
        <v>255</v>
      </c>
      <c r="F158" s="87" t="s">
        <v>418</v>
      </c>
      <c r="G158" s="87" t="s">
        <v>418</v>
      </c>
      <c r="H158" s="87" t="s">
        <v>418</v>
      </c>
      <c r="I158" s="111" t="s"/>
      <c r="J158" s="73" t="s">
        <v>219</v>
      </c>
      <c r="K158" s="73" t="s">
        <v>219</v>
      </c>
      <c r="L158" s="57" t="s"/>
      <c r="M158" s="57" t="s"/>
      <c r="N158" s="57" t="s"/>
      <c r="O158" s="57" t="s"/>
      <c r="P158" s="57" t="s"/>
      <c r="Q158" s="57" t="s"/>
      <c r="R158" s="57" t="s"/>
      <c r="S158" s="57" t="s"/>
      <c r="T158" s="57" t="s"/>
      <c r="U158" s="57" t="s"/>
      <c r="V158" s="57" t="s"/>
      <c r="W158" s="57" t="s"/>
      <c r="X158" s="57" t="s"/>
      <c r="Y158" s="57" t="s"/>
      <c r="Z158" s="57" t="s"/>
      <c r="AA158" s="57" t="s"/>
    </row>
    <row r="159" spans="1:27" ht="15.5">
      <c r="A159" s="52" t="s">
        <v>419</v>
      </c>
      <c r="B159" s="52" t="s"/>
      <c r="C159" s="97" t="s"/>
      <c r="D159" s="37" t="s">
        <v>254</v>
      </c>
      <c r="E159" s="48" t="s">
        <v>255</v>
      </c>
      <c r="F159" s="87">
        <v>2</v>
      </c>
      <c r="G159" s="87">
        <v>2</v>
      </c>
      <c r="H159" s="87">
        <v>2</v>
      </c>
      <c r="I159" s="57" t="s"/>
      <c r="J159" s="73" t="s">
        <v>219</v>
      </c>
      <c r="K159" s="73" t="s">
        <v>219</v>
      </c>
      <c r="L159" s="57" t="s"/>
      <c r="M159" s="57" t="s"/>
      <c r="N159" s="57" t="s"/>
      <c r="O159" s="57" t="s"/>
      <c r="P159" s="57" t="s"/>
      <c r="Q159" s="57" t="s"/>
      <c r="R159" s="57" t="s"/>
      <c r="S159" s="57" t="s"/>
      <c r="T159" s="57" t="s"/>
      <c r="U159" s="57" t="s"/>
      <c r="V159" s="57" t="s"/>
      <c r="W159" s="57" t="s"/>
      <c r="X159" s="57" t="s"/>
      <c r="Y159" s="57" t="s"/>
      <c r="Z159" s="57" t="s"/>
      <c r="AA159" s="57" t="s"/>
    </row>
    <row r="160" spans="1:27">
      <c r="A160" s="52" t="s">
        <v>13</v>
      </c>
      <c r="B160" s="52" t="s"/>
      <c r="C160" s="127" t="s"/>
      <c r="D160" s="37" t="s">
        <v>254</v>
      </c>
      <c r="E160" s="48" t="s">
        <v>255</v>
      </c>
      <c r="F160" s="87" t="s">
        <v>34</v>
      </c>
      <c r="G160" s="87" t="s">
        <v>34</v>
      </c>
      <c r="H160" s="87" t="s">
        <v>34</v>
      </c>
      <c r="I160" s="57" t="s"/>
      <c r="J160" s="73" t="s">
        <v>219</v>
      </c>
      <c r="K160" s="73" t="s">
        <v>219</v>
      </c>
      <c r="L160" s="57" t="s"/>
      <c r="M160" s="57" t="s"/>
      <c r="N160" s="57" t="s"/>
      <c r="O160" s="57" t="s"/>
      <c r="P160" s="57" t="s"/>
      <c r="Q160" s="57" t="s"/>
      <c r="R160" s="57" t="s"/>
      <c r="S160" s="57" t="s"/>
      <c r="T160" s="57" t="s"/>
      <c r="U160" s="57" t="s"/>
      <c r="V160" s="57" t="s"/>
      <c r="W160" s="57" t="s"/>
      <c r="X160" s="57" t="s"/>
      <c r="Y160" s="57" t="s"/>
      <c r="Z160" s="57" t="s"/>
      <c r="AA160" s="57" t="s"/>
    </row>
    <row r="161" spans="1:27">
      <c r="A161" s="52" t="s">
        <v>420</v>
      </c>
      <c r="B161" s="16" t="s"/>
      <c r="C161" s="97" t="s">
        <v>12</v>
      </c>
      <c r="D161" s="37" t="s">
        <v>254</v>
      </c>
      <c r="E161" s="48" t="s">
        <v>255</v>
      </c>
      <c r="F161" s="87" t="s">
        <v>17</v>
      </c>
      <c r="G161" s="87" t="s">
        <v>17</v>
      </c>
      <c r="H161" s="87" t="s">
        <v>17</v>
      </c>
      <c r="I161" s="57" t="s"/>
      <c r="J161" s="73" t="s">
        <v>219</v>
      </c>
      <c r="K161" s="73" t="s">
        <v>219</v>
      </c>
      <c r="L161" s="57" t="s"/>
      <c r="M161" s="57" t="s"/>
      <c r="N161" s="57" t="s"/>
      <c r="O161" s="57" t="s"/>
      <c r="P161" s="57" t="s"/>
      <c r="Q161" s="57" t="s"/>
      <c r="R161" s="57" t="s"/>
      <c r="S161" s="57" t="s"/>
      <c r="T161" s="57" t="s"/>
      <c r="U161" s="57" t="s"/>
      <c r="V161" s="57" t="s"/>
      <c r="W161" s="57" t="s"/>
      <c r="X161" s="57" t="s"/>
      <c r="Y161" s="57" t="s"/>
      <c r="Z161" s="57" t="s"/>
      <c r="AA161" s="57" t="s"/>
    </row>
    <row r="162" spans="1:27">
      <c r="A162" s="52" t="s"/>
      <c r="B162" s="16" t="s"/>
      <c r="C162" s="97" t="s">
        <v>421</v>
      </c>
      <c r="D162" s="37" t="s">
        <v>254</v>
      </c>
      <c r="E162" s="48" t="s">
        <v>255</v>
      </c>
      <c r="F162" s="87" t="s">
        <v>17</v>
      </c>
      <c r="G162" s="87" t="s">
        <v>17</v>
      </c>
      <c r="H162" s="87" t="s">
        <v>17</v>
      </c>
      <c r="I162" s="57" t="s"/>
      <c r="J162" s="73" t="s">
        <v>219</v>
      </c>
      <c r="K162" s="73" t="s">
        <v>219</v>
      </c>
      <c r="L162" s="57" t="s"/>
      <c r="M162" s="57" t="s"/>
      <c r="N162" s="57" t="s"/>
      <c r="O162" s="57" t="s"/>
      <c r="P162" s="57" t="s"/>
      <c r="Q162" s="57" t="s"/>
      <c r="R162" s="57" t="s"/>
      <c r="S162" s="57" t="s"/>
      <c r="T162" s="57" t="s"/>
      <c r="U162" s="57" t="s"/>
      <c r="V162" s="57" t="s"/>
      <c r="W162" s="57" t="s"/>
      <c r="X162" s="57" t="s"/>
      <c r="Y162" s="57" t="s"/>
      <c r="Z162" s="57" t="s"/>
      <c r="AA162" s="57" t="s"/>
    </row>
    <row r="163" spans="1:27">
      <c r="A163" s="52" t="s"/>
      <c r="B163" s="16" t="s"/>
      <c r="C163" s="97" t="s">
        <v>389</v>
      </c>
      <c r="D163" s="37" t="s">
        <v>254</v>
      </c>
      <c r="E163" s="48" t="s">
        <v>255</v>
      </c>
      <c r="F163" s="87" t="s">
        <v>17</v>
      </c>
      <c r="G163" s="87" t="s">
        <v>17</v>
      </c>
      <c r="H163" s="87" t="s">
        <v>17</v>
      </c>
      <c r="I163" s="57" t="s"/>
      <c r="J163" s="73" t="s">
        <v>219</v>
      </c>
      <c r="K163" s="73" t="s">
        <v>219</v>
      </c>
      <c r="L163" s="57" t="s"/>
      <c r="M163" s="57" t="s"/>
      <c r="N163" s="57" t="s"/>
      <c r="O163" s="57" t="s"/>
      <c r="P163" s="57" t="s"/>
      <c r="Q163" s="57" t="s"/>
      <c r="R163" s="57" t="s"/>
      <c r="S163" s="57" t="s"/>
      <c r="T163" s="57" t="s"/>
      <c r="U163" s="57" t="s"/>
      <c r="V163" s="57" t="s"/>
      <c r="W163" s="57" t="s"/>
      <c r="X163" s="57" t="s"/>
      <c r="Y163" s="57" t="s"/>
      <c r="Z163" s="57" t="s"/>
      <c r="AA163" s="57" t="s"/>
    </row>
    <row r="164" spans="1:27">
      <c r="A164" s="52" t="s">
        <v>422</v>
      </c>
      <c r="B164" s="16" t="s"/>
      <c r="C164" s="97" t="s">
        <v>423</v>
      </c>
      <c r="D164" s="37" t="s">
        <v>254</v>
      </c>
      <c r="E164" s="48" t="s">
        <v>255</v>
      </c>
      <c r="F164" s="87" t="s">
        <v>16</v>
      </c>
      <c r="G164" s="87" t="s">
        <v>16</v>
      </c>
      <c r="H164" s="87" t="s">
        <v>16</v>
      </c>
      <c r="I164" s="57" t="s"/>
      <c r="J164" s="73" t="s">
        <v>219</v>
      </c>
      <c r="K164" s="73" t="s">
        <v>219</v>
      </c>
      <c r="L164" s="57" t="s"/>
      <c r="M164" s="57" t="s"/>
      <c r="N164" s="57" t="s"/>
      <c r="O164" s="57" t="s"/>
      <c r="P164" s="57" t="s"/>
      <c r="Q164" s="57" t="s"/>
      <c r="R164" s="57" t="s"/>
      <c r="S164" s="57" t="s"/>
      <c r="T164" s="57" t="s"/>
      <c r="U164" s="57" t="s"/>
      <c r="V164" s="57" t="s"/>
      <c r="W164" s="57" t="s"/>
      <c r="X164" s="57" t="s"/>
      <c r="Y164" s="57" t="s"/>
      <c r="Z164" s="57" t="s"/>
      <c r="AA164" s="57" t="s"/>
    </row>
    <row r="165" spans="1:27">
      <c r="A165" s="52" t="s"/>
      <c r="B165" s="16" t="s"/>
      <c r="C165" s="97" t="s">
        <v>424</v>
      </c>
      <c r="D165" s="37" t="s">
        <v>254</v>
      </c>
      <c r="E165" s="48" t="s">
        <v>255</v>
      </c>
      <c r="F165" s="87" t="s">
        <v>16</v>
      </c>
      <c r="G165" s="87" t="s">
        <v>16</v>
      </c>
      <c r="H165" s="87" t="s">
        <v>16</v>
      </c>
      <c r="I165" s="57" t="s"/>
      <c r="J165" s="73" t="s">
        <v>219</v>
      </c>
      <c r="K165" s="73" t="s">
        <v>219</v>
      </c>
      <c r="L165" s="57" t="s"/>
      <c r="M165" s="57" t="s"/>
      <c r="N165" s="57" t="s"/>
      <c r="O165" s="57" t="s"/>
      <c r="P165" s="57" t="s"/>
      <c r="Q165" s="57" t="s"/>
      <c r="R165" s="57" t="s"/>
      <c r="S165" s="57" t="s"/>
      <c r="T165" s="57" t="s"/>
      <c r="U165" s="57" t="s"/>
      <c r="V165" s="57" t="s"/>
      <c r="W165" s="57" t="s"/>
      <c r="X165" s="57" t="s"/>
      <c r="Y165" s="57" t="s"/>
      <c r="Z165" s="57" t="s"/>
      <c r="AA165" s="57" t="s"/>
    </row>
    <row r="166" spans="1:27">
      <c r="A166" s="52" t="s"/>
      <c r="B166" s="16" t="s"/>
      <c r="C166" s="97" t="s">
        <v>425</v>
      </c>
      <c r="D166" s="37" t="s">
        <v>254</v>
      </c>
      <c r="E166" s="48" t="s">
        <v>255</v>
      </c>
      <c r="F166" s="87" t="s">
        <v>16</v>
      </c>
      <c r="G166" s="87" t="s">
        <v>16</v>
      </c>
      <c r="H166" s="87" t="s">
        <v>16</v>
      </c>
      <c r="I166" s="57" t="s"/>
      <c r="J166" s="73" t="s">
        <v>219</v>
      </c>
      <c r="K166" s="73" t="s">
        <v>219</v>
      </c>
      <c r="L166" s="57" t="s"/>
      <c r="M166" s="57" t="s"/>
      <c r="N166" s="57" t="s"/>
      <c r="O166" s="57" t="s"/>
      <c r="P166" s="57" t="s"/>
      <c r="Q166" s="57" t="s"/>
      <c r="R166" s="57" t="s"/>
      <c r="S166" s="57" t="s"/>
      <c r="T166" s="57" t="s"/>
      <c r="U166" s="57" t="s"/>
      <c r="V166" s="57" t="s"/>
      <c r="W166" s="57" t="s"/>
      <c r="X166" s="57" t="s"/>
      <c r="Y166" s="57" t="s"/>
      <c r="Z166" s="57" t="s"/>
      <c r="AA166" s="57" t="s"/>
    </row>
    <row r="167" spans="1:27">
      <c r="A167" s="84" t="s">
        <v>426</v>
      </c>
      <c r="B167" s="85" t="s"/>
      <c r="C167" s="61" t="s"/>
      <c r="D167" s="17" t="s"/>
      <c r="E167" s="17" t="s"/>
      <c r="F167" s="86" t="s"/>
      <c r="G167" s="86" t="s"/>
      <c r="H167" s="86" t="s"/>
      <c r="I167" s="86" t="s"/>
      <c r="J167" s="44" t="s"/>
      <c r="K167" s="44" t="s"/>
      <c r="L167" s="86" t="s"/>
      <c r="M167" s="86" t="s"/>
      <c r="N167" s="86" t="s"/>
      <c r="O167" s="86" t="s"/>
      <c r="P167" s="86" t="s"/>
      <c r="Q167" s="86" t="s"/>
      <c r="R167" s="86" t="s"/>
      <c r="S167" s="86" t="s"/>
      <c r="T167" s="86" t="s"/>
      <c r="U167" s="86" t="s"/>
      <c r="V167" s="86" t="s"/>
      <c r="W167" s="86" t="s"/>
      <c r="X167" s="86" t="s"/>
      <c r="Y167" s="86" t="s"/>
      <c r="Z167" s="86" t="s"/>
      <c r="AA167" s="86" t="s"/>
    </row>
    <row r="168" spans="1:27" ht="15.5">
      <c r="A168" s="66" t="s">
        <v>427</v>
      </c>
      <c r="B168" s="67" t="s"/>
      <c r="C168" s="97" t="s"/>
      <c r="D168" s="37" t="s">
        <v>272</v>
      </c>
      <c r="E168" s="48" t="s">
        <v>273</v>
      </c>
      <c r="F168" s="87" t="s">
        <v>17</v>
      </c>
      <c r="G168" s="87" t="s">
        <v>17</v>
      </c>
      <c r="H168" s="87" t="s">
        <v>17</v>
      </c>
      <c r="I168" s="57" t="s"/>
      <c r="J168" s="44" t="s">
        <v>219</v>
      </c>
      <c r="K168" s="44" t="s">
        <v>219</v>
      </c>
      <c r="L168" s="57" t="s"/>
      <c r="M168" s="57" t="s"/>
      <c r="N168" s="57" t="s"/>
      <c r="O168" s="57" t="s"/>
      <c r="P168" s="57" t="s"/>
      <c r="Q168" s="57" t="s"/>
      <c r="R168" s="57" t="s"/>
      <c r="S168" s="57" t="s"/>
      <c r="T168" s="57" t="s"/>
      <c r="U168" s="57" t="s"/>
      <c r="V168" s="57" t="s"/>
      <c r="W168" s="57" t="s"/>
      <c r="X168" s="57" t="s"/>
      <c r="Y168" s="57" t="s"/>
      <c r="Z168" s="57" t="s"/>
      <c r="AA168" s="57" t="s"/>
    </row>
    <row r="169" spans="1:27">
      <c r="A169" s="52" t="s">
        <v>428</v>
      </c>
      <c r="B169" s="16" t="s"/>
      <c r="C169" s="97" t="s">
        <v>429</v>
      </c>
      <c r="D169" s="37" t="s">
        <v>272</v>
      </c>
      <c r="E169" s="48" t="s">
        <v>273</v>
      </c>
      <c r="F169" s="87" t="s">
        <v>17</v>
      </c>
      <c r="G169" s="87" t="s">
        <v>17</v>
      </c>
      <c r="H169" s="87" t="s">
        <v>17</v>
      </c>
      <c r="I169" s="57" t="s"/>
      <c r="J169" s="44" t="s">
        <v>219</v>
      </c>
      <c r="K169" s="44" t="s">
        <v>219</v>
      </c>
      <c r="L169" s="57" t="s"/>
      <c r="M169" s="57" t="s"/>
      <c r="N169" s="57" t="s"/>
      <c r="O169" s="57" t="s"/>
      <c r="P169" s="57" t="s"/>
      <c r="Q169" s="57" t="s"/>
      <c r="R169" s="57" t="s"/>
      <c r="S169" s="57" t="s"/>
      <c r="T169" s="57" t="s"/>
      <c r="U169" s="57" t="s"/>
      <c r="V169" s="57" t="s"/>
      <c r="W169" s="57" t="s"/>
      <c r="X169" s="57" t="s"/>
      <c r="Y169" s="57" t="s"/>
      <c r="Z169" s="57" t="s"/>
      <c r="AA169" s="57" t="s"/>
    </row>
    <row r="170" spans="1:27">
      <c r="A170" s="52" t="s"/>
      <c r="B170" s="16" t="s"/>
      <c r="C170" s="97" t="s">
        <v>430</v>
      </c>
      <c r="D170" s="37" t="s">
        <v>272</v>
      </c>
      <c r="E170" s="48" t="s">
        <v>273</v>
      </c>
      <c r="F170" s="87" t="s">
        <v>17</v>
      </c>
      <c r="G170" s="87" t="s">
        <v>17</v>
      </c>
      <c r="H170" s="87" t="s">
        <v>17</v>
      </c>
      <c r="I170" s="57" t="s"/>
      <c r="J170" s="44" t="s">
        <v>219</v>
      </c>
      <c r="K170" s="44" t="s">
        <v>219</v>
      </c>
      <c r="L170" s="57" t="s"/>
      <c r="M170" s="57" t="s"/>
      <c r="N170" s="57" t="s"/>
      <c r="O170" s="57" t="s"/>
      <c r="P170" s="57" t="s"/>
      <c r="Q170" s="57" t="s"/>
      <c r="R170" s="57" t="s"/>
      <c r="S170" s="57" t="s"/>
      <c r="T170" s="57" t="s"/>
      <c r="U170" s="57" t="s"/>
      <c r="V170" s="57" t="s"/>
      <c r="W170" s="57" t="s"/>
      <c r="X170" s="57" t="s"/>
      <c r="Y170" s="57" t="s"/>
      <c r="Z170" s="57" t="s"/>
      <c r="AA170" s="57" t="s"/>
    </row>
    <row r="171" spans="1:27">
      <c r="A171" s="52" t="s"/>
      <c r="B171" s="16" t="s"/>
      <c r="C171" s="97" t="s">
        <v>431</v>
      </c>
      <c r="D171" s="37" t="s">
        <v>272</v>
      </c>
      <c r="E171" s="48" t="s">
        <v>273</v>
      </c>
      <c r="F171" s="87" t="s">
        <v>17</v>
      </c>
      <c r="G171" s="87" t="s">
        <v>17</v>
      </c>
      <c r="H171" s="87" t="s">
        <v>17</v>
      </c>
      <c r="I171" s="57" t="s"/>
      <c r="J171" s="44" t="s">
        <v>219</v>
      </c>
      <c r="K171" s="44" t="s">
        <v>219</v>
      </c>
      <c r="L171" s="57" t="s"/>
      <c r="M171" s="57" t="s"/>
      <c r="N171" s="57" t="s"/>
      <c r="O171" s="57" t="s"/>
      <c r="P171" s="57" t="s"/>
      <c r="Q171" s="57" t="s"/>
      <c r="R171" s="57" t="s"/>
      <c r="S171" s="57" t="s"/>
      <c r="T171" s="57" t="s"/>
      <c r="U171" s="57" t="s"/>
      <c r="V171" s="57" t="s"/>
      <c r="W171" s="57" t="s"/>
      <c r="X171" s="57" t="s"/>
      <c r="Y171" s="57" t="s"/>
      <c r="Z171" s="57" t="s"/>
      <c r="AA171" s="57" t="s"/>
    </row>
    <row r="172" spans="1:27">
      <c r="A172" s="52" t="s"/>
      <c r="B172" s="16" t="s"/>
      <c r="C172" s="97" t="s">
        <v>432</v>
      </c>
      <c r="D172" s="37" t="s">
        <v>272</v>
      </c>
      <c r="E172" s="48" t="s">
        <v>273</v>
      </c>
      <c r="F172" s="87" t="s">
        <v>17</v>
      </c>
      <c r="G172" s="87" t="s">
        <v>17</v>
      </c>
      <c r="H172" s="87" t="s">
        <v>17</v>
      </c>
      <c r="I172" s="57" t="s"/>
      <c r="J172" s="44" t="s">
        <v>219</v>
      </c>
      <c r="K172" s="44" t="s">
        <v>219</v>
      </c>
      <c r="L172" s="57" t="s"/>
      <c r="M172" s="57" t="s"/>
      <c r="N172" s="57" t="s"/>
      <c r="O172" s="57" t="s"/>
      <c r="P172" s="57" t="s"/>
      <c r="Q172" s="57" t="s"/>
      <c r="R172" s="57" t="s"/>
      <c r="S172" s="57" t="s"/>
      <c r="T172" s="57" t="s"/>
      <c r="U172" s="57" t="s"/>
      <c r="V172" s="57" t="s"/>
      <c r="W172" s="57" t="s"/>
      <c r="X172" s="57" t="s"/>
      <c r="Y172" s="57" t="s"/>
      <c r="Z172" s="57" t="s"/>
      <c r="AA172" s="57" t="s"/>
    </row>
    <row r="173" spans="1:27">
      <c r="A173" s="84" t="s">
        <v>433</v>
      </c>
      <c r="B173" s="85" t="s"/>
      <c r="C173" s="61" t="s"/>
      <c r="D173" s="17" t="s"/>
      <c r="E173" s="17" t="s"/>
      <c r="F173" s="86" t="s"/>
      <c r="G173" s="86" t="s"/>
      <c r="H173" s="86" t="s"/>
      <c r="I173" s="86" t="s"/>
      <c r="J173" s="44" t="s"/>
      <c r="K173" s="44" t="s"/>
      <c r="L173" s="86" t="s"/>
      <c r="M173" s="86" t="s"/>
      <c r="N173" s="86" t="s"/>
      <c r="O173" s="86" t="s"/>
      <c r="P173" s="86" t="s"/>
      <c r="Q173" s="86" t="s"/>
      <c r="R173" s="86" t="s"/>
      <c r="S173" s="86" t="s"/>
      <c r="T173" s="86" t="s"/>
      <c r="U173" s="86" t="s"/>
      <c r="V173" s="86" t="s"/>
      <c r="W173" s="86" t="s"/>
      <c r="X173" s="86" t="s"/>
      <c r="Y173" s="86" t="s"/>
      <c r="Z173" s="86" t="s"/>
      <c r="AA173" s="86" t="s"/>
    </row>
    <row r="174" spans="1:27">
      <c r="A174" s="52" t="s">
        <v>434</v>
      </c>
      <c r="B174" s="16" t="s"/>
      <c r="C174" s="41" t="s"/>
      <c r="D174" s="37" t="s">
        <v>254</v>
      </c>
      <c r="E174" s="48" t="s">
        <v>255</v>
      </c>
      <c r="F174" s="77">
        <v>16</v>
      </c>
      <c r="G174" s="77">
        <v>40</v>
      </c>
      <c r="H174" s="77">
        <v>40</v>
      </c>
      <c r="I174" s="128" t="s"/>
      <c r="J174" s="73" t="s">
        <v>219</v>
      </c>
      <c r="K174" s="73" t="s">
        <v>219</v>
      </c>
      <c r="L174" s="78" t="s"/>
      <c r="M174" s="78" t="s"/>
      <c r="N174" s="78" t="s"/>
      <c r="O174" s="78" t="s"/>
      <c r="P174" s="78" t="s"/>
      <c r="Q174" s="78" t="s"/>
      <c r="R174" s="78" t="s"/>
      <c r="S174" s="78" t="s"/>
      <c r="T174" s="78" t="s"/>
      <c r="U174" s="78" t="s"/>
      <c r="V174" s="78" t="s"/>
      <c r="W174" s="78" t="s"/>
      <c r="X174" s="78" t="s"/>
      <c r="Y174" s="78" t="s"/>
      <c r="Z174" s="78" t="s"/>
      <c r="AA174" s="78" t="s"/>
    </row>
    <row r="175" spans="1:27">
      <c r="A175" s="52" t="s">
        <v>435</v>
      </c>
      <c r="B175" s="16" t="s"/>
      <c r="C175" s="41" t="s"/>
      <c r="D175" s="37" t="s">
        <v>254</v>
      </c>
      <c r="E175" s="48" t="s">
        <v>255</v>
      </c>
      <c r="F175" s="77">
        <v>320</v>
      </c>
      <c r="G175" s="77">
        <v>620</v>
      </c>
      <c r="H175" s="77">
        <v>620</v>
      </c>
      <c r="I175" s="128" t="s"/>
      <c r="J175" s="73" t="s">
        <v>219</v>
      </c>
      <c r="K175" s="73" t="s">
        <v>219</v>
      </c>
      <c r="L175" s="78" t="s"/>
      <c r="M175" s="78" t="s"/>
      <c r="N175" s="78" t="s"/>
      <c r="O175" s="78" t="s"/>
      <c r="P175" s="78" t="s"/>
      <c r="Q175" s="78" t="s"/>
      <c r="R175" s="78" t="s"/>
      <c r="S175" s="78" t="s"/>
      <c r="T175" s="78" t="s"/>
      <c r="U175" s="78" t="s"/>
      <c r="V175" s="78" t="s"/>
      <c r="W175" s="78" t="s"/>
      <c r="X175" s="78" t="s"/>
      <c r="Y175" s="78" t="s"/>
      <c r="Z175" s="78" t="s"/>
      <c r="AA175" s="78" t="s"/>
    </row>
    <row r="176" spans="1:27">
      <c r="A176" s="52" t="s">
        <v>436</v>
      </c>
      <c r="B176" s="16" t="s"/>
      <c r="C176" s="41" t="s"/>
      <c r="D176" s="37" t="s">
        <v>254</v>
      </c>
      <c r="E176" s="48" t="s">
        <v>255</v>
      </c>
      <c r="F176" s="83">
        <v>2500</v>
      </c>
      <c r="G176" s="83">
        <v>5010</v>
      </c>
      <c r="H176" s="83">
        <v>5010</v>
      </c>
      <c r="I176" s="129" t="s"/>
      <c r="J176" s="73" t="s">
        <v>219</v>
      </c>
      <c r="K176" s="73" t="s">
        <v>219</v>
      </c>
      <c r="L176" s="83" t="s"/>
      <c r="M176" s="83" t="s"/>
      <c r="N176" s="83" t="s"/>
      <c r="O176" s="83" t="s"/>
      <c r="P176" s="83" t="s"/>
      <c r="Q176" s="83" t="s"/>
      <c r="R176" s="83" t="s"/>
      <c r="S176" s="83" t="s"/>
      <c r="T176" s="83" t="s"/>
      <c r="U176" s="83" t="s"/>
      <c r="V176" s="83" t="s"/>
      <c r="W176" s="83" t="s"/>
      <c r="X176" s="83" t="s"/>
      <c r="Y176" s="83" t="s"/>
      <c r="Z176" s="83" t="s"/>
      <c r="AA176" s="83" t="s"/>
    </row>
    <row r="177" spans="1:27">
      <c r="A177" s="110" t="s">
        <v>437</v>
      </c>
      <c r="B177" s="16" t="s"/>
      <c r="C177" s="41" t="s"/>
      <c r="D177" s="37" t="s">
        <v>254</v>
      </c>
      <c r="E177" s="48" t="s">
        <v>255</v>
      </c>
      <c r="F177" s="87" t="s">
        <v>438</v>
      </c>
      <c r="G177" s="130" t="s">
        <v>439</v>
      </c>
      <c r="H177" s="130" t="s">
        <v>439</v>
      </c>
      <c r="I177" s="111" t="s"/>
      <c r="J177" s="73" t="s">
        <v>219</v>
      </c>
      <c r="K177" s="131" t="s">
        <v>439</v>
      </c>
      <c r="L177" s="57" t="s"/>
      <c r="M177" s="57" t="s"/>
      <c r="N177" s="57" t="s"/>
      <c r="O177" s="57" t="s"/>
      <c r="P177" s="57" t="s"/>
      <c r="Q177" s="57" t="s"/>
      <c r="R177" s="57" t="s"/>
      <c r="S177" s="57" t="s"/>
      <c r="T177" s="57" t="s"/>
      <c r="U177" s="57" t="s"/>
      <c r="V177" s="57" t="s"/>
      <c r="W177" s="57" t="s"/>
      <c r="X177" s="57" t="s"/>
      <c r="Y177" s="57" t="s"/>
      <c r="Z177" s="57" t="s"/>
      <c r="AA177" s="57" t="s"/>
    </row>
    <row r="178" spans="1:27">
      <c r="A178" s="49" t="s">
        <v>440</v>
      </c>
      <c r="B178" s="50" t="s"/>
      <c r="C178" s="41" t="s"/>
      <c r="D178" s="37" t="s">
        <v>254</v>
      </c>
      <c r="E178" s="48" t="s">
        <v>255</v>
      </c>
      <c r="F178" s="87" t="s">
        <v>17</v>
      </c>
      <c r="G178" s="114" t="s">
        <v>16</v>
      </c>
      <c r="H178" s="87" t="s">
        <v>16</v>
      </c>
      <c r="I178" s="112" t="s"/>
      <c r="J178" s="73" t="s">
        <v>219</v>
      </c>
      <c r="K178" s="73" t="s">
        <v>219</v>
      </c>
      <c r="L178" s="57" t="s"/>
      <c r="M178" s="57" t="s"/>
      <c r="N178" s="57" t="s"/>
      <c r="O178" s="57" t="s"/>
      <c r="P178" s="57" t="s"/>
      <c r="Q178" s="57" t="s"/>
      <c r="R178" s="57" t="s"/>
      <c r="S178" s="57" t="s"/>
      <c r="T178" s="57" t="s"/>
      <c r="U178" s="57" t="s"/>
      <c r="V178" s="57" t="s"/>
      <c r="W178" s="57" t="s"/>
      <c r="X178" s="57" t="s"/>
      <c r="Y178" s="57" t="s"/>
      <c r="Z178" s="57" t="s"/>
      <c r="AA178" s="57" t="s"/>
    </row>
    <row r="179" spans="1:27">
      <c r="A179" s="52" t="s">
        <v>441</v>
      </c>
      <c r="B179" s="16" t="s"/>
      <c r="C179" s="41" t="s"/>
      <c r="D179" s="37" t="s">
        <v>254</v>
      </c>
      <c r="E179" s="48" t="s">
        <v>255</v>
      </c>
      <c r="F179" s="87" t="s">
        <v>16</v>
      </c>
      <c r="G179" s="87" t="s">
        <v>16</v>
      </c>
      <c r="H179" s="87" t="s">
        <v>16</v>
      </c>
      <c r="I179" s="57" t="s"/>
      <c r="J179" s="73" t="s">
        <v>219</v>
      </c>
      <c r="K179" s="73" t="s">
        <v>219</v>
      </c>
      <c r="L179" s="57" t="s"/>
      <c r="M179" s="57" t="s"/>
      <c r="N179" s="57" t="s"/>
      <c r="O179" s="57" t="s"/>
      <c r="P179" s="57" t="s"/>
      <c r="Q179" s="57" t="s"/>
      <c r="R179" s="57" t="s"/>
      <c r="S179" s="57" t="s"/>
      <c r="T179" s="57" t="s"/>
      <c r="U179" s="57" t="s"/>
      <c r="V179" s="57" t="s"/>
      <c r="W179" s="57" t="s"/>
      <c r="X179" s="57" t="s"/>
      <c r="Y179" s="57" t="s"/>
      <c r="Z179" s="57" t="s"/>
      <c r="AA179" s="57" t="s"/>
    </row>
    <row r="180" spans="1:27">
      <c r="A180" s="52" t="s">
        <v>442</v>
      </c>
      <c r="B180" s="16" t="s"/>
      <c r="C180" s="41" t="s"/>
      <c r="D180" s="37" t="s">
        <v>254</v>
      </c>
      <c r="E180" s="48" t="s">
        <v>255</v>
      </c>
      <c r="F180" s="87" t="s">
        <v>16</v>
      </c>
      <c r="G180" s="87" t="s">
        <v>16</v>
      </c>
      <c r="H180" s="87" t="s">
        <v>16</v>
      </c>
      <c r="I180" s="57" t="s"/>
      <c r="J180" s="73" t="s">
        <v>219</v>
      </c>
      <c r="K180" s="73" t="s">
        <v>219</v>
      </c>
      <c r="L180" s="57" t="s"/>
      <c r="M180" s="57" t="s"/>
      <c r="N180" s="57" t="s"/>
      <c r="O180" s="57" t="s"/>
      <c r="P180" s="57" t="s"/>
      <c r="Q180" s="57" t="s"/>
      <c r="R180" s="57" t="s"/>
      <c r="S180" s="57" t="s"/>
      <c r="T180" s="57" t="s"/>
      <c r="U180" s="57" t="s"/>
      <c r="V180" s="57" t="s"/>
      <c r="W180" s="57" t="s"/>
      <c r="X180" s="57" t="s"/>
      <c r="Y180" s="57" t="s"/>
      <c r="Z180" s="57" t="s"/>
      <c r="AA180" s="57" t="s"/>
    </row>
    <row r="181" spans="1:27" ht="15" thickBot="true">
      <c r="A181" s="59" t="s">
        <v>443</v>
      </c>
      <c r="B181" s="60" t="s"/>
      <c r="C181" s="61" t="s"/>
      <c r="D181" s="17" t="s"/>
      <c r="E181" s="17" t="s"/>
      <c r="F181" s="62" t="s"/>
      <c r="G181" s="62" t="s"/>
      <c r="H181" s="62" t="s"/>
      <c r="I181" s="62" t="s"/>
      <c r="J181" s="44" t="s"/>
      <c r="K181" s="44" t="s"/>
      <c r="L181" s="62" t="s"/>
      <c r="M181" s="62" t="s"/>
      <c r="N181" s="62" t="s"/>
      <c r="O181" s="62" t="s"/>
      <c r="P181" s="62" t="s"/>
      <c r="Q181" s="62" t="s"/>
      <c r="R181" s="62" t="s"/>
      <c r="S181" s="62" t="s"/>
      <c r="T181" s="62" t="s"/>
      <c r="U181" s="62" t="s"/>
      <c r="V181" s="62" t="s"/>
      <c r="W181" s="62" t="s"/>
      <c r="X181" s="62" t="s"/>
      <c r="Y181" s="62" t="s"/>
      <c r="Z181" s="62" t="s"/>
      <c r="AA181" s="62" t="s"/>
    </row>
    <row r="182" spans="1:27" ht="15" thickBot="true">
      <c r="A182" s="39" t="s">
        <v>444</v>
      </c>
      <c r="B182" s="40" t="s"/>
      <c r="C182" s="125" t="s"/>
      <c r="D182" s="37" t="s">
        <v>254</v>
      </c>
      <c r="E182" s="48" t="s">
        <v>255</v>
      </c>
      <c r="F182" s="91" t="s">
        <v>80</v>
      </c>
      <c r="G182" s="91" t="s">
        <v>71</v>
      </c>
      <c r="H182" s="91" t="s">
        <v>71</v>
      </c>
      <c r="I182" s="92" t="s"/>
      <c r="J182" s="73" t="s">
        <v>219</v>
      </c>
      <c r="K182" s="73" t="s">
        <v>219</v>
      </c>
      <c r="L182" s="92" t="s"/>
      <c r="M182" s="92" t="s"/>
      <c r="N182" s="92" t="s"/>
      <c r="O182" s="92" t="s"/>
      <c r="P182" s="92" t="s"/>
      <c r="Q182" s="92" t="s"/>
      <c r="R182" s="92" t="s"/>
      <c r="S182" s="92" t="s"/>
      <c r="T182" s="92" t="s"/>
      <c r="U182" s="92" t="s"/>
      <c r="V182" s="92" t="s"/>
      <c r="W182" s="92" t="s"/>
      <c r="X182" s="92" t="s"/>
      <c r="Y182" s="92" t="s"/>
      <c r="Z182" s="92" t="s"/>
      <c r="AA182" s="92" t="s"/>
    </row>
    <row r="183" spans="1:27">
      <c r="A183" s="52" t="s">
        <v>445</v>
      </c>
      <c r="B183" s="16" t="s"/>
      <c r="C183" s="97" t="s">
        <v>446</v>
      </c>
      <c r="D183" s="37" t="s">
        <v>254</v>
      </c>
      <c r="E183" s="48" t="s">
        <v>255</v>
      </c>
      <c r="F183" s="94" t="s">
        <v>16</v>
      </c>
      <c r="G183" s="94" t="s">
        <v>16</v>
      </c>
      <c r="H183" s="94" t="s">
        <v>16</v>
      </c>
      <c r="I183" s="95" t="s"/>
      <c r="J183" s="73" t="s">
        <v>219</v>
      </c>
      <c r="K183" s="73" t="s">
        <v>219</v>
      </c>
      <c r="L183" s="95" t="s"/>
      <c r="M183" s="95" t="s"/>
      <c r="N183" s="95" t="s"/>
      <c r="O183" s="95" t="s"/>
      <c r="P183" s="95" t="s"/>
      <c r="Q183" s="95" t="s"/>
      <c r="R183" s="95" t="s"/>
      <c r="S183" s="95" t="s"/>
      <c r="T183" s="95" t="s"/>
      <c r="U183" s="95" t="s"/>
      <c r="V183" s="95" t="s"/>
      <c r="W183" s="95" t="s"/>
      <c r="X183" s="95" t="s"/>
      <c r="Y183" s="95" t="s"/>
      <c r="Z183" s="95" t="s"/>
      <c r="AA183" s="95" t="s"/>
    </row>
    <row r="184" spans="1:27">
      <c r="A184" s="52" t="s"/>
      <c r="B184" s="16" t="s"/>
      <c r="C184" s="97" t="s">
        <v>447</v>
      </c>
      <c r="D184" s="37" t="s">
        <v>254</v>
      </c>
      <c r="E184" s="48" t="s">
        <v>255</v>
      </c>
      <c r="F184" s="87" t="s">
        <v>16</v>
      </c>
      <c r="G184" s="87" t="s">
        <v>16</v>
      </c>
      <c r="H184" s="87" t="s">
        <v>16</v>
      </c>
      <c r="I184" s="57" t="s"/>
      <c r="J184" s="73" t="s">
        <v>219</v>
      </c>
      <c r="K184" s="73" t="s">
        <v>219</v>
      </c>
      <c r="L184" s="57" t="s"/>
      <c r="M184" s="57" t="s"/>
      <c r="N184" s="57" t="s"/>
      <c r="O184" s="57" t="s"/>
      <c r="P184" s="57" t="s"/>
      <c r="Q184" s="57" t="s"/>
      <c r="R184" s="57" t="s"/>
      <c r="S184" s="57" t="s"/>
      <c r="T184" s="57" t="s"/>
      <c r="U184" s="57" t="s"/>
      <c r="V184" s="57" t="s"/>
      <c r="W184" s="57" t="s"/>
      <c r="X184" s="57" t="s"/>
      <c r="Y184" s="57" t="s"/>
      <c r="Z184" s="57" t="s"/>
      <c r="AA184" s="57" t="s"/>
    </row>
    <row r="185" spans="1:27">
      <c r="A185" s="52" t="s"/>
      <c r="B185" s="16" t="s"/>
      <c r="C185" s="97" t="s">
        <v>448</v>
      </c>
      <c r="D185" s="37" t="s">
        <v>254</v>
      </c>
      <c r="E185" s="48" t="s">
        <v>255</v>
      </c>
      <c r="F185" s="87" t="s">
        <v>17</v>
      </c>
      <c r="G185" s="87" t="s">
        <v>17</v>
      </c>
      <c r="H185" s="87" t="s">
        <v>17</v>
      </c>
      <c r="I185" s="57" t="s"/>
      <c r="J185" s="73" t="s">
        <v>219</v>
      </c>
      <c r="K185" s="73" t="s">
        <v>219</v>
      </c>
      <c r="L185" s="57" t="s"/>
      <c r="M185" s="57" t="s"/>
      <c r="N185" s="57" t="s"/>
      <c r="O185" s="57" t="s"/>
      <c r="P185" s="57" t="s"/>
      <c r="Q185" s="57" t="s"/>
      <c r="R185" s="57" t="s"/>
      <c r="S185" s="57" t="s"/>
      <c r="T185" s="57" t="s"/>
      <c r="U185" s="57" t="s"/>
      <c r="V185" s="57" t="s"/>
      <c r="W185" s="57" t="s"/>
      <c r="X185" s="57" t="s"/>
      <c r="Y185" s="57" t="s"/>
      <c r="Z185" s="57" t="s"/>
      <c r="AA185" s="57" t="s"/>
    </row>
    <row r="186" spans="1:27" ht="15" thickBot="true">
      <c r="A186" s="52" t="s"/>
      <c r="B186" s="16" t="s"/>
      <c r="C186" s="97" t="s">
        <v>449</v>
      </c>
      <c r="D186" s="37" t="s">
        <v>254</v>
      </c>
      <c r="E186" s="48" t="s">
        <v>255</v>
      </c>
      <c r="F186" s="89" t="s">
        <v>16</v>
      </c>
      <c r="G186" s="89" t="s">
        <v>16</v>
      </c>
      <c r="H186" s="89" t="s">
        <v>16</v>
      </c>
      <c r="I186" s="90" t="s"/>
      <c r="J186" s="73" t="s">
        <v>219</v>
      </c>
      <c r="K186" s="73" t="s">
        <v>219</v>
      </c>
      <c r="L186" s="90" t="s"/>
      <c r="M186" s="90" t="s"/>
      <c r="N186" s="90" t="s"/>
      <c r="O186" s="90" t="s"/>
      <c r="P186" s="90" t="s"/>
      <c r="Q186" s="90" t="s"/>
      <c r="R186" s="90" t="s"/>
      <c r="S186" s="90" t="s"/>
      <c r="T186" s="90" t="s"/>
      <c r="U186" s="90" t="s"/>
      <c r="V186" s="90" t="s"/>
      <c r="W186" s="90" t="s"/>
      <c r="X186" s="90" t="s"/>
      <c r="Y186" s="90" t="s"/>
      <c r="Z186" s="90" t="s"/>
      <c r="AA186" s="90" t="s"/>
    </row>
    <row r="187" spans="1:27" ht="15" thickBot="true">
      <c r="A187" s="39" t="s">
        <v>10</v>
      </c>
      <c r="B187" s="40" t="s"/>
      <c r="C187" s="41" t="s"/>
      <c r="D187" s="37" t="s">
        <v>254</v>
      </c>
      <c r="E187" s="48" t="s">
        <v>255</v>
      </c>
      <c r="F187" s="132" t="s">
        <v>153</v>
      </c>
      <c r="G187" s="132" t="s">
        <v>153</v>
      </c>
      <c r="H187" s="132" t="s">
        <v>140</v>
      </c>
      <c r="I187" s="133" t="s"/>
      <c r="J187" s="73" t="s">
        <v>219</v>
      </c>
      <c r="K187" s="73" t="s">
        <v>219</v>
      </c>
      <c r="L187" s="133" t="s"/>
      <c r="M187" s="133" t="s"/>
      <c r="N187" s="133" t="s"/>
      <c r="O187" s="133" t="s"/>
      <c r="P187" s="133" t="s"/>
      <c r="Q187" s="133" t="s"/>
      <c r="R187" s="133" t="s"/>
      <c r="S187" s="133" t="s"/>
      <c r="T187" s="133" t="s"/>
      <c r="U187" s="133" t="s"/>
      <c r="V187" s="133" t="s"/>
      <c r="W187" s="133" t="s"/>
      <c r="X187" s="133" t="s"/>
      <c r="Y187" s="133" t="s"/>
      <c r="Z187" s="133" t="s"/>
      <c r="AA187" s="133" t="s"/>
    </row>
    <row r="188" spans="1:27">
      <c r="A188" s="134" t="s">
        <v>450</v>
      </c>
      <c r="B188" s="135" t="s"/>
      <c r="C188" s="61" t="s"/>
      <c r="D188" s="17" t="s"/>
      <c r="E188" s="17" t="s"/>
      <c r="F188" s="136" t="s"/>
      <c r="G188" s="136" t="s"/>
      <c r="H188" s="136" t="s"/>
      <c r="I188" s="136" t="s"/>
      <c r="J188" s="44" t="s"/>
      <c r="K188" s="44" t="s"/>
      <c r="L188" s="136" t="s"/>
      <c r="M188" s="136" t="s"/>
      <c r="N188" s="136" t="s"/>
      <c r="O188" s="136" t="s"/>
      <c r="P188" s="136" t="s"/>
      <c r="Q188" s="136" t="s"/>
      <c r="R188" s="136" t="s"/>
      <c r="S188" s="136" t="s"/>
      <c r="T188" s="136" t="s"/>
      <c r="U188" s="136" t="s"/>
      <c r="V188" s="136" t="s"/>
      <c r="W188" s="136" t="s"/>
      <c r="X188" s="136" t="s"/>
      <c r="Y188" s="136" t="s"/>
      <c r="Z188" s="136" t="s"/>
      <c r="AA188" s="136" t="s"/>
    </row>
    <row r="189" spans="1:27" ht="15.5">
      <c r="A189" s="66" t="s">
        <v>451</v>
      </c>
      <c r="B189" s="67" t="s"/>
      <c r="C189" s="97" t="s"/>
      <c r="D189" s="37" t="s">
        <v>272</v>
      </c>
      <c r="E189" s="48" t="s">
        <v>273</v>
      </c>
      <c r="F189" s="87" t="s">
        <v>17</v>
      </c>
      <c r="G189" s="87" t="s">
        <v>17</v>
      </c>
      <c r="H189" s="87" t="s">
        <v>17</v>
      </c>
      <c r="I189" s="57" t="s"/>
      <c r="J189" s="44" t="s">
        <v>219</v>
      </c>
      <c r="K189" s="44" t="s">
        <v>219</v>
      </c>
      <c r="L189" s="57" t="s"/>
      <c r="M189" s="57" t="s"/>
      <c r="N189" s="57" t="s"/>
      <c r="O189" s="57" t="s"/>
      <c r="P189" s="57" t="s"/>
      <c r="Q189" s="57" t="s"/>
      <c r="R189" s="57" t="s"/>
      <c r="S189" s="57" t="s"/>
      <c r="T189" s="57" t="s"/>
      <c r="U189" s="57" t="s"/>
      <c r="V189" s="57" t="s"/>
      <c r="W189" s="57" t="s"/>
      <c r="X189" s="57" t="s"/>
      <c r="Y189" s="57" t="s"/>
      <c r="Z189" s="57" t="s"/>
      <c r="AA189" s="57" t="s"/>
    </row>
    <row r="190" spans="1:27">
      <c r="A190" s="52" t="s">
        <v>452</v>
      </c>
      <c r="B190" s="52" t="s"/>
      <c r="C190" s="97" t="s">
        <v>277</v>
      </c>
      <c r="D190" s="37" t="s">
        <v>272</v>
      </c>
      <c r="E190" s="48" t="s">
        <v>273</v>
      </c>
      <c r="F190" s="87" t="s">
        <v>16</v>
      </c>
      <c r="G190" s="87" t="s">
        <v>16</v>
      </c>
      <c r="H190" s="87" t="s">
        <v>16</v>
      </c>
      <c r="I190" s="57" t="s"/>
      <c r="J190" s="44" t="s">
        <v>219</v>
      </c>
      <c r="K190" s="44" t="s">
        <v>219</v>
      </c>
      <c r="L190" s="57" t="s"/>
      <c r="M190" s="57" t="s"/>
      <c r="N190" s="57" t="s"/>
      <c r="O190" s="57" t="s"/>
      <c r="P190" s="57" t="s"/>
      <c r="Q190" s="57" t="s"/>
      <c r="R190" s="57" t="s"/>
      <c r="S190" s="57" t="s"/>
      <c r="T190" s="57" t="s"/>
      <c r="U190" s="57" t="s"/>
      <c r="V190" s="57" t="s"/>
      <c r="W190" s="57" t="s"/>
      <c r="X190" s="57" t="s"/>
      <c r="Y190" s="57" t="s"/>
      <c r="Z190" s="57" t="s"/>
      <c r="AA190" s="57" t="s"/>
    </row>
    <row r="191" spans="1:27">
      <c r="A191" s="52" t="s"/>
      <c r="B191" s="16" t="s"/>
      <c r="C191" s="97" t="s">
        <v>279</v>
      </c>
      <c r="D191" s="37" t="s">
        <v>272</v>
      </c>
      <c r="E191" s="48" t="s">
        <v>273</v>
      </c>
      <c r="F191" s="87" t="s">
        <v>17</v>
      </c>
      <c r="G191" s="87" t="s">
        <v>17</v>
      </c>
      <c r="H191" s="87" t="s">
        <v>17</v>
      </c>
      <c r="I191" s="57" t="s"/>
      <c r="J191" s="44" t="s">
        <v>219</v>
      </c>
      <c r="K191" s="44" t="s">
        <v>219</v>
      </c>
      <c r="L191" s="57" t="s"/>
      <c r="M191" s="57" t="s"/>
      <c r="N191" s="57" t="s"/>
      <c r="O191" s="57" t="s"/>
      <c r="P191" s="57" t="s"/>
      <c r="Q191" s="57" t="s"/>
      <c r="R191" s="57" t="s"/>
      <c r="S191" s="57" t="s"/>
      <c r="T191" s="57" t="s"/>
      <c r="U191" s="57" t="s"/>
      <c r="V191" s="57" t="s"/>
      <c r="W191" s="57" t="s"/>
      <c r="X191" s="57" t="s"/>
      <c r="Y191" s="57" t="s"/>
      <c r="Z191" s="57" t="s"/>
      <c r="AA191" s="57" t="s"/>
    </row>
    <row r="192" spans="1:27">
      <c r="A192" s="52" t="s"/>
      <c r="B192" s="16" t="s"/>
      <c r="C192" s="97" t="s">
        <v>453</v>
      </c>
      <c r="D192" s="37" t="s">
        <v>272</v>
      </c>
      <c r="E192" s="48" t="s">
        <v>273</v>
      </c>
      <c r="F192" s="87" t="s">
        <v>17</v>
      </c>
      <c r="G192" s="87" t="s">
        <v>17</v>
      </c>
      <c r="H192" s="87" t="s">
        <v>17</v>
      </c>
      <c r="I192" s="57" t="s"/>
      <c r="J192" s="44" t="s">
        <v>219</v>
      </c>
      <c r="K192" s="44" t="s">
        <v>219</v>
      </c>
      <c r="L192" s="57" t="s"/>
      <c r="M192" s="57" t="s"/>
      <c r="N192" s="57" t="s"/>
      <c r="O192" s="57" t="s"/>
      <c r="P192" s="57" t="s"/>
      <c r="Q192" s="57" t="s"/>
      <c r="R192" s="57" t="s"/>
      <c r="S192" s="57" t="s"/>
      <c r="T192" s="57" t="s"/>
      <c r="U192" s="57" t="s"/>
      <c r="V192" s="57" t="s"/>
      <c r="W192" s="57" t="s"/>
      <c r="X192" s="57" t="s"/>
      <c r="Y192" s="57" t="s"/>
      <c r="Z192" s="57" t="s"/>
      <c r="AA192" s="57" t="s"/>
    </row>
    <row r="193" spans="1:27">
      <c r="A193" s="52" t="s">
        <v>454</v>
      </c>
      <c r="B193" s="16" t="s"/>
      <c r="C193" s="41" t="s"/>
      <c r="D193" s="37" t="s">
        <v>272</v>
      </c>
      <c r="E193" s="48" t="s">
        <v>273</v>
      </c>
      <c r="F193" s="87" t="s">
        <v>17</v>
      </c>
      <c r="G193" s="87" t="s">
        <v>17</v>
      </c>
      <c r="H193" s="87" t="s">
        <v>17</v>
      </c>
      <c r="I193" s="57" t="s"/>
      <c r="J193" s="44" t="s">
        <v>219</v>
      </c>
      <c r="K193" s="44" t="s">
        <v>219</v>
      </c>
      <c r="L193" s="57" t="s"/>
      <c r="M193" s="57" t="s"/>
      <c r="N193" s="57" t="s"/>
      <c r="O193" s="57" t="s"/>
      <c r="P193" s="57" t="s"/>
      <c r="Q193" s="57" t="s"/>
      <c r="R193" s="57" t="s"/>
      <c r="S193" s="57" t="s"/>
      <c r="T193" s="57" t="s"/>
      <c r="U193" s="57" t="s"/>
      <c r="V193" s="57" t="s"/>
      <c r="W193" s="57" t="s"/>
      <c r="X193" s="57" t="s"/>
      <c r="Y193" s="57" t="s"/>
      <c r="Z193" s="57" t="s"/>
      <c r="AA193" s="57" t="s"/>
    </row>
    <row r="194" spans="1:27">
      <c r="A194" s="121" t="s">
        <v>455</v>
      </c>
      <c r="B194" s="121" t="s"/>
      <c r="C194" s="41" t="s"/>
      <c r="D194" s="37" t="s">
        <v>272</v>
      </c>
      <c r="E194" s="48" t="s">
        <v>273</v>
      </c>
      <c r="F194" s="87" t="s">
        <v>17</v>
      </c>
      <c r="G194" s="87" t="s">
        <v>17</v>
      </c>
      <c r="H194" s="87" t="s">
        <v>17</v>
      </c>
      <c r="I194" s="57" t="s"/>
      <c r="J194" s="44" t="s">
        <v>219</v>
      </c>
      <c r="K194" s="44" t="s">
        <v>219</v>
      </c>
      <c r="L194" s="57" t="s"/>
      <c r="M194" s="57" t="s"/>
      <c r="N194" s="57" t="s"/>
      <c r="O194" s="57" t="s"/>
      <c r="P194" s="57" t="s"/>
      <c r="Q194" s="57" t="s"/>
      <c r="R194" s="57" t="s"/>
      <c r="S194" s="57" t="s"/>
      <c r="T194" s="57" t="s"/>
      <c r="U194" s="57" t="s"/>
      <c r="V194" s="57" t="s"/>
      <c r="W194" s="57" t="s"/>
      <c r="X194" s="57" t="s"/>
      <c r="Y194" s="57" t="s"/>
      <c r="Z194" s="57" t="s"/>
      <c r="AA194" s="57" t="s"/>
    </row>
    <row r="195" spans="1:27">
      <c r="A195" s="52" t="s">
        <v>456</v>
      </c>
      <c r="B195" s="16" t="s"/>
      <c r="C195" s="41" t="s"/>
      <c r="D195" s="37" t="s">
        <v>272</v>
      </c>
      <c r="E195" s="48" t="s">
        <v>273</v>
      </c>
      <c r="F195" s="87" t="s">
        <v>17</v>
      </c>
      <c r="G195" s="87" t="s">
        <v>17</v>
      </c>
      <c r="H195" s="87" t="s">
        <v>17</v>
      </c>
      <c r="I195" s="57" t="s"/>
      <c r="J195" s="44" t="s">
        <v>219</v>
      </c>
      <c r="K195" s="44" t="s">
        <v>219</v>
      </c>
      <c r="L195" s="57" t="s"/>
      <c r="M195" s="57" t="s"/>
      <c r="N195" s="57" t="s"/>
      <c r="O195" s="57" t="s"/>
      <c r="P195" s="57" t="s"/>
      <c r="Q195" s="57" t="s"/>
      <c r="R195" s="57" t="s"/>
      <c r="S195" s="57" t="s"/>
      <c r="T195" s="57" t="s"/>
      <c r="U195" s="57" t="s"/>
      <c r="V195" s="57" t="s"/>
      <c r="W195" s="57" t="s"/>
      <c r="X195" s="57" t="s"/>
      <c r="Y195" s="57" t="s"/>
      <c r="Z195" s="57" t="s"/>
      <c r="AA195" s="57" t="s"/>
    </row>
    <row r="196" spans="1:27">
      <c r="A196" s="52" t="s">
        <v>457</v>
      </c>
      <c r="B196" s="16" t="s"/>
      <c r="C196" s="41" t="s"/>
      <c r="D196" s="37" t="s">
        <v>272</v>
      </c>
      <c r="E196" s="48" t="s">
        <v>273</v>
      </c>
      <c r="F196" s="87" t="s">
        <v>17</v>
      </c>
      <c r="G196" s="87" t="s">
        <v>17</v>
      </c>
      <c r="H196" s="87" t="s">
        <v>17</v>
      </c>
      <c r="I196" s="57" t="s"/>
      <c r="J196" s="44" t="s">
        <v>219</v>
      </c>
      <c r="K196" s="44" t="s">
        <v>219</v>
      </c>
      <c r="L196" s="57" t="s"/>
      <c r="M196" s="57" t="s"/>
      <c r="N196" s="57" t="s"/>
      <c r="O196" s="57" t="s"/>
      <c r="P196" s="57" t="s"/>
      <c r="Q196" s="57" t="s"/>
      <c r="R196" s="57" t="s"/>
      <c r="S196" s="57" t="s"/>
      <c r="T196" s="57" t="s"/>
      <c r="U196" s="57" t="s"/>
      <c r="V196" s="57" t="s"/>
      <c r="W196" s="57" t="s"/>
      <c r="X196" s="57" t="s"/>
      <c r="Y196" s="57" t="s"/>
      <c r="Z196" s="57" t="s"/>
      <c r="AA196" s="57" t="s"/>
    </row>
    <row r="197" spans="1:27">
      <c r="A197" s="66" t="s">
        <v>458</v>
      </c>
      <c r="B197" s="67" t="s"/>
      <c r="C197" s="41" t="s"/>
      <c r="D197" s="37" t="s">
        <v>272</v>
      </c>
      <c r="E197" s="48" t="s">
        <v>273</v>
      </c>
      <c r="F197" s="87" t="s">
        <v>17</v>
      </c>
      <c r="G197" s="87" t="s">
        <v>17</v>
      </c>
      <c r="H197" s="87" t="s">
        <v>17</v>
      </c>
      <c r="I197" s="57" t="s"/>
      <c r="J197" s="44" t="s">
        <v>219</v>
      </c>
      <c r="K197" s="44" t="s">
        <v>219</v>
      </c>
      <c r="L197" s="57" t="s"/>
      <c r="M197" s="57" t="s"/>
      <c r="N197" s="57" t="s"/>
      <c r="O197" s="57" t="s"/>
      <c r="P197" s="57" t="s"/>
      <c r="Q197" s="57" t="s"/>
      <c r="R197" s="57" t="s"/>
      <c r="S197" s="57" t="s"/>
      <c r="T197" s="57" t="s"/>
      <c r="U197" s="57" t="s"/>
      <c r="V197" s="57" t="s"/>
      <c r="W197" s="57" t="s"/>
      <c r="X197" s="57" t="s"/>
      <c r="Y197" s="57" t="s"/>
      <c r="Z197" s="57" t="s"/>
      <c r="AA197" s="57" t="s"/>
    </row>
    <row r="198" spans="1:27">
      <c r="A198" s="52" t="s">
        <v>459</v>
      </c>
      <c r="B198" s="16" t="s"/>
      <c r="C198" s="41" t="s"/>
      <c r="D198" s="37" t="s">
        <v>272</v>
      </c>
      <c r="E198" s="48" t="s">
        <v>273</v>
      </c>
      <c r="F198" s="87" t="s">
        <v>17</v>
      </c>
      <c r="G198" s="87" t="s">
        <v>17</v>
      </c>
      <c r="H198" s="87" t="s">
        <v>17</v>
      </c>
      <c r="I198" s="57" t="s"/>
      <c r="J198" s="44" t="s">
        <v>219</v>
      </c>
      <c r="K198" s="44" t="s">
        <v>219</v>
      </c>
      <c r="L198" s="57" t="s"/>
      <c r="M198" s="57" t="s"/>
      <c r="N198" s="57" t="s"/>
      <c r="O198" s="57" t="s"/>
      <c r="P198" s="57" t="s"/>
      <c r="Q198" s="57" t="s"/>
      <c r="R198" s="57" t="s"/>
      <c r="S198" s="57" t="s"/>
      <c r="T198" s="57" t="s"/>
      <c r="U198" s="57" t="s"/>
      <c r="V198" s="57" t="s"/>
      <c r="W198" s="57" t="s"/>
      <c r="X198" s="57" t="s"/>
      <c r="Y198" s="57" t="s"/>
      <c r="Z198" s="57" t="s"/>
      <c r="AA198" s="57" t="s"/>
    </row>
    <row r="199" spans="1:27">
      <c r="A199" s="84" t="s">
        <v>460</v>
      </c>
      <c r="B199" s="85" t="s"/>
      <c r="C199" s="61" t="s"/>
      <c r="D199" s="17" t="s"/>
      <c r="E199" s="17" t="s"/>
      <c r="F199" s="86" t="s"/>
      <c r="G199" s="86" t="s"/>
      <c r="H199" s="86" t="s"/>
      <c r="I199" s="86" t="s"/>
      <c r="J199" s="44" t="s"/>
      <c r="K199" s="44" t="s"/>
      <c r="L199" s="86" t="s"/>
      <c r="M199" s="86" t="s"/>
      <c r="N199" s="86" t="s"/>
      <c r="O199" s="86" t="s"/>
      <c r="P199" s="86" t="s"/>
      <c r="Q199" s="86" t="s"/>
      <c r="R199" s="86" t="s"/>
      <c r="S199" s="86" t="s"/>
      <c r="T199" s="86" t="s"/>
      <c r="U199" s="86" t="s"/>
      <c r="V199" s="86" t="s"/>
      <c r="W199" s="86" t="s"/>
      <c r="X199" s="86" t="s"/>
      <c r="Y199" s="86" t="s"/>
      <c r="Z199" s="86" t="s"/>
      <c r="AA199" s="86" t="s"/>
    </row>
    <row r="200" spans="1:27">
      <c r="A200" s="66" t="s">
        <v>461</v>
      </c>
      <c r="B200" s="67" t="s"/>
      <c r="C200" s="41" t="s"/>
      <c r="D200" s="37" t="s">
        <v>272</v>
      </c>
      <c r="E200" s="48" t="s">
        <v>273</v>
      </c>
      <c r="F200" s="87" t="s">
        <v>17</v>
      </c>
      <c r="G200" s="87" t="s">
        <v>17</v>
      </c>
      <c r="H200" s="87" t="s">
        <v>17</v>
      </c>
      <c r="I200" s="57" t="s"/>
      <c r="J200" s="44" t="s">
        <v>219</v>
      </c>
      <c r="K200" s="44" t="s">
        <v>219</v>
      </c>
      <c r="L200" s="57" t="s"/>
      <c r="M200" s="57" t="s"/>
      <c r="N200" s="57" t="s"/>
      <c r="O200" s="57" t="s"/>
      <c r="P200" s="57" t="s"/>
      <c r="Q200" s="57" t="s"/>
      <c r="R200" s="57" t="s"/>
      <c r="S200" s="57" t="s"/>
      <c r="T200" s="57" t="s"/>
      <c r="U200" s="57" t="s"/>
      <c r="V200" s="57" t="s"/>
      <c r="W200" s="57" t="s"/>
      <c r="X200" s="57" t="s"/>
      <c r="Y200" s="57" t="s"/>
      <c r="Z200" s="57" t="s"/>
      <c r="AA200" s="57" t="s"/>
    </row>
    <row r="201" spans="1:27">
      <c r="A201" s="66" t="s">
        <v>462</v>
      </c>
      <c r="B201" s="67" t="s"/>
      <c r="C201" s="41" t="s"/>
      <c r="D201" s="37" t="s">
        <v>272</v>
      </c>
      <c r="E201" s="48" t="s">
        <v>273</v>
      </c>
      <c r="F201" s="87" t="s">
        <v>17</v>
      </c>
      <c r="G201" s="87" t="s">
        <v>17</v>
      </c>
      <c r="H201" s="87" t="s">
        <v>17</v>
      </c>
      <c r="I201" s="57" t="s"/>
      <c r="J201" s="44" t="s">
        <v>219</v>
      </c>
      <c r="K201" s="44" t="s">
        <v>219</v>
      </c>
      <c r="L201" s="57" t="s"/>
      <c r="M201" s="57" t="s"/>
      <c r="N201" s="57" t="s"/>
      <c r="O201" s="57" t="s"/>
      <c r="P201" s="57" t="s"/>
      <c r="Q201" s="57" t="s"/>
      <c r="R201" s="57" t="s"/>
      <c r="S201" s="57" t="s"/>
      <c r="T201" s="57" t="s"/>
      <c r="U201" s="57" t="s"/>
      <c r="V201" s="57" t="s"/>
      <c r="W201" s="57" t="s"/>
      <c r="X201" s="57" t="s"/>
      <c r="Y201" s="57" t="s"/>
      <c r="Z201" s="57" t="s"/>
      <c r="AA201" s="57" t="s"/>
    </row>
    <row r="202" spans="1:27" ht="15.5">
      <c r="A202" s="66" t="s">
        <v>463</v>
      </c>
      <c r="B202" s="67" t="s"/>
      <c r="C202" s="41" t="s"/>
      <c r="D202" s="37" t="s">
        <v>272</v>
      </c>
      <c r="E202" s="48" t="s">
        <v>273</v>
      </c>
      <c r="F202" s="87" t="s">
        <v>17</v>
      </c>
      <c r="G202" s="87" t="s">
        <v>17</v>
      </c>
      <c r="H202" s="87" t="s">
        <v>17</v>
      </c>
      <c r="I202" s="57" t="s"/>
      <c r="J202" s="44" t="s">
        <v>219</v>
      </c>
      <c r="K202" s="44" t="s">
        <v>219</v>
      </c>
      <c r="L202" s="57" t="s"/>
      <c r="M202" s="57" t="s"/>
      <c r="N202" s="57" t="s"/>
      <c r="O202" s="57" t="s"/>
      <c r="P202" s="57" t="s"/>
      <c r="Q202" s="57" t="s"/>
      <c r="R202" s="57" t="s"/>
      <c r="S202" s="57" t="s"/>
      <c r="T202" s="57" t="s"/>
      <c r="U202" s="57" t="s"/>
      <c r="V202" s="57" t="s"/>
      <c r="W202" s="57" t="s"/>
      <c r="X202" s="57" t="s"/>
      <c r="Y202" s="57" t="s"/>
      <c r="Z202" s="57" t="s"/>
      <c r="AA202" s="57" t="s"/>
    </row>
    <row r="203" spans="1:27">
      <c r="A203" s="66" t="s">
        <v>464</v>
      </c>
      <c r="B203" s="67" t="s"/>
      <c r="C203" s="41" t="s"/>
      <c r="D203" s="37" t="s">
        <v>272</v>
      </c>
      <c r="E203" s="48" t="s">
        <v>273</v>
      </c>
      <c r="F203" s="87" t="s">
        <v>465</v>
      </c>
      <c r="G203" s="87" t="s">
        <v>465</v>
      </c>
      <c r="H203" s="87" t="s">
        <v>465</v>
      </c>
      <c r="I203" s="57" t="s"/>
      <c r="J203" s="44" t="s">
        <v>219</v>
      </c>
      <c r="K203" s="44" t="s">
        <v>219</v>
      </c>
      <c r="L203" s="57" t="s"/>
      <c r="M203" s="57" t="s"/>
      <c r="N203" s="57" t="s"/>
      <c r="O203" s="57" t="s"/>
      <c r="P203" s="57" t="s"/>
      <c r="Q203" s="57" t="s"/>
      <c r="R203" s="57" t="s"/>
      <c r="S203" s="57" t="s"/>
      <c r="T203" s="57" t="s"/>
      <c r="U203" s="57" t="s"/>
      <c r="V203" s="57" t="s"/>
      <c r="W203" s="57" t="s"/>
      <c r="X203" s="57" t="s"/>
      <c r="Y203" s="57" t="s"/>
      <c r="Z203" s="57" t="s"/>
      <c r="AA203" s="57" t="s"/>
    </row>
    <row r="204" spans="1:27">
      <c r="A204" s="52" t="s">
        <v>466</v>
      </c>
      <c r="B204" s="16" t="s"/>
      <c r="C204" s="41" t="s"/>
      <c r="D204" s="37" t="s">
        <v>272</v>
      </c>
      <c r="E204" s="48" t="s">
        <v>273</v>
      </c>
      <c r="F204" s="87" t="s">
        <v>467</v>
      </c>
      <c r="G204" s="87" t="s">
        <v>467</v>
      </c>
      <c r="H204" s="87" t="s">
        <v>467</v>
      </c>
      <c r="I204" s="57" t="s"/>
      <c r="J204" s="44" t="s">
        <v>219</v>
      </c>
      <c r="K204" s="44" t="s">
        <v>219</v>
      </c>
      <c r="L204" s="57" t="s"/>
      <c r="M204" s="57" t="s"/>
      <c r="N204" s="57" t="s"/>
      <c r="O204" s="57" t="s"/>
      <c r="P204" s="57" t="s"/>
      <c r="Q204" s="57" t="s"/>
      <c r="R204" s="57" t="s"/>
      <c r="S204" s="57" t="s"/>
      <c r="T204" s="57" t="s"/>
      <c r="U204" s="57" t="s"/>
      <c r="V204" s="57" t="s"/>
      <c r="W204" s="57" t="s"/>
      <c r="X204" s="57" t="s"/>
      <c r="Y204" s="57" t="s"/>
      <c r="Z204" s="57" t="s"/>
      <c r="AA204" s="57" t="s"/>
    </row>
    <row r="205" spans="1:27">
      <c r="A205" s="66" t="s">
        <v>468</v>
      </c>
      <c r="B205" s="67" t="s"/>
      <c r="C205" s="137" t="s"/>
      <c r="D205" s="37" t="s">
        <v>272</v>
      </c>
      <c r="E205" s="48" t="s">
        <v>273</v>
      </c>
      <c r="F205" s="138" t="s">
        <v>469</v>
      </c>
      <c r="G205" s="138" t="s">
        <v>469</v>
      </c>
      <c r="H205" s="138" t="s">
        <v>469</v>
      </c>
      <c r="I205" s="138" t="s"/>
      <c r="J205" s="44" t="s">
        <v>219</v>
      </c>
      <c r="K205" s="44" t="s">
        <v>219</v>
      </c>
      <c r="L205" s="138" t="s"/>
      <c r="M205" s="138" t="s"/>
      <c r="N205" s="138" t="s"/>
      <c r="O205" s="138" t="s"/>
      <c r="P205" s="138" t="s"/>
      <c r="Q205" s="138" t="s"/>
      <c r="R205" s="138" t="s"/>
      <c r="S205" s="138" t="s"/>
      <c r="T205" s="138" t="s"/>
      <c r="U205" s="138" t="s"/>
      <c r="V205" s="138" t="s"/>
      <c r="W205" s="138" t="s"/>
      <c r="X205" s="138" t="s"/>
      <c r="Y205" s="138" t="s"/>
      <c r="Z205" s="138" t="s"/>
      <c r="AA205" s="138" t="s"/>
    </row>
    <row r="206" spans="1:27" ht="15" thickBot="true">
      <c r="A206" s="59" t="s">
        <v>470</v>
      </c>
      <c r="B206" s="60" t="s"/>
      <c r="C206" s="61" t="s"/>
      <c r="D206" s="17" t="s"/>
      <c r="E206" s="17" t="s"/>
      <c r="F206" s="62" t="s"/>
      <c r="G206" s="62" t="s"/>
      <c r="H206" s="62" t="s"/>
      <c r="I206" s="62" t="s"/>
      <c r="J206" s="44" t="s"/>
      <c r="K206" s="44" t="s"/>
      <c r="L206" s="62" t="s"/>
      <c r="M206" s="62" t="s"/>
      <c r="N206" s="62" t="s"/>
      <c r="O206" s="62" t="s"/>
      <c r="P206" s="62" t="s"/>
      <c r="Q206" s="62" t="s"/>
      <c r="R206" s="62" t="s"/>
      <c r="S206" s="62" t="s"/>
      <c r="T206" s="62" t="s"/>
      <c r="U206" s="62" t="s"/>
      <c r="V206" s="62" t="s"/>
      <c r="W206" s="62" t="s"/>
      <c r="X206" s="62" t="s"/>
      <c r="Y206" s="62" t="s"/>
      <c r="Z206" s="62" t="s"/>
      <c r="AA206" s="62" t="s"/>
    </row>
    <row r="207" spans="1:27" ht="16" thickBot="true">
      <c r="A207" s="80" t="s">
        <v>470</v>
      </c>
      <c r="B207" s="40" t="s"/>
      <c r="C207" s="41" t="s"/>
      <c r="D207" s="139" t="s">
        <v>471</v>
      </c>
      <c r="E207" s="139" t="s">
        <v>472</v>
      </c>
      <c r="F207" s="42" t="s">
        <v>473</v>
      </c>
      <c r="G207" s="42" t="s">
        <v>473</v>
      </c>
      <c r="H207" s="42" t="s">
        <v>474</v>
      </c>
      <c r="I207" s="43" t="s"/>
      <c r="J207" s="73" t="s">
        <v>219</v>
      </c>
      <c r="K207" s="73" t="s">
        <v>219</v>
      </c>
      <c r="L207" s="43" t="s"/>
      <c r="M207" s="43" t="s"/>
      <c r="N207" s="43" t="s"/>
      <c r="O207" s="43" t="s"/>
      <c r="P207" s="43" t="s"/>
      <c r="Q207" s="43" t="s"/>
      <c r="R207" s="43" t="s"/>
      <c r="S207" s="43" t="s"/>
      <c r="T207" s="43" t="s"/>
      <c r="U207" s="43" t="s"/>
      <c r="V207" s="43" t="s"/>
      <c r="W207" s="43" t="s"/>
      <c r="X207" s="43" t="s"/>
      <c r="Y207" s="43" t="s"/>
      <c r="Z207" s="43" t="s"/>
      <c r="AA207" s="43" t="s"/>
    </row>
    <row r="208" spans="1:27">
      <c r="A208" s="52" t="s">
        <v>475</v>
      </c>
      <c r="B208" s="16" t="s"/>
      <c r="C208" s="41" t="s"/>
      <c r="D208" s="139" t="s">
        <v>471</v>
      </c>
      <c r="E208" s="139" t="s">
        <v>472</v>
      </c>
      <c r="F208" s="140">
        <v>1</v>
      </c>
      <c r="G208" s="140">
        <v>1</v>
      </c>
      <c r="H208" s="140">
        <v>1</v>
      </c>
      <c r="I208" s="140" t="s"/>
      <c r="J208" s="73" t="s">
        <v>219</v>
      </c>
      <c r="K208" s="73" t="s">
        <v>219</v>
      </c>
      <c r="L208" s="140" t="s"/>
      <c r="M208" s="140" t="s"/>
      <c r="N208" s="140" t="s"/>
      <c r="O208" s="140" t="s"/>
      <c r="P208" s="140" t="s"/>
      <c r="Q208" s="140" t="s"/>
      <c r="R208" s="140" t="s"/>
      <c r="S208" s="140" t="s"/>
      <c r="T208" s="140" t="s"/>
      <c r="U208" s="140" t="s"/>
      <c r="V208" s="140" t="s"/>
      <c r="W208" s="140" t="s"/>
      <c r="X208" s="140" t="s"/>
      <c r="Y208" s="140" t="s"/>
      <c r="Z208" s="140" t="s"/>
      <c r="AA208" s="140" t="s"/>
    </row>
    <row r="209" spans="1:27">
      <c r="A209" s="52" t="s">
        <v>476</v>
      </c>
      <c r="B209" s="16" t="s"/>
      <c r="C209" s="41" t="s"/>
      <c r="D209" s="139" t="s">
        <v>471</v>
      </c>
      <c r="E209" s="139" t="s">
        <v>472</v>
      </c>
      <c r="F209" s="141">
        <v>2</v>
      </c>
      <c r="G209" s="141">
        <v>5</v>
      </c>
      <c r="H209" s="141">
        <v>8</v>
      </c>
      <c r="I209" s="141" t="s"/>
      <c r="J209" s="73" t="s">
        <v>219</v>
      </c>
      <c r="K209" s="73" t="s">
        <v>219</v>
      </c>
      <c r="L209" s="141" t="s"/>
      <c r="M209" s="141" t="s"/>
      <c r="N209" s="141" t="s"/>
      <c r="O209" s="141" t="s"/>
      <c r="P209" s="141" t="s"/>
      <c r="Q209" s="141" t="s"/>
      <c r="R209" s="141" t="s"/>
      <c r="S209" s="141" t="s"/>
      <c r="T209" s="141" t="s"/>
      <c r="U209" s="141" t="s"/>
      <c r="V209" s="141" t="s"/>
      <c r="W209" s="141" t="s"/>
      <c r="X209" s="141" t="s"/>
      <c r="Y209" s="141" t="s"/>
      <c r="Z209" s="141" t="s"/>
      <c r="AA209" s="141" t="s"/>
    </row>
    <row r="210" spans="1:27">
      <c r="A210" s="52" t="s">
        <v>477</v>
      </c>
      <c r="B210" s="16" t="s"/>
      <c r="C210" s="41" t="s"/>
      <c r="D210" s="139" t="s">
        <v>471</v>
      </c>
      <c r="E210" s="139" t="s">
        <v>472</v>
      </c>
      <c r="F210" s="141" t="s"/>
      <c r="G210" s="141" t="s"/>
      <c r="H210" s="141" t="s"/>
      <c r="I210" s="141" t="s"/>
      <c r="J210" s="44" t="s"/>
      <c r="K210" s="44" t="s"/>
      <c r="L210" s="141" t="s"/>
      <c r="M210" s="141" t="s"/>
      <c r="N210" s="141" t="s"/>
      <c r="O210" s="141" t="s"/>
      <c r="P210" s="141" t="s"/>
      <c r="Q210" s="141" t="s"/>
      <c r="R210" s="141" t="s"/>
      <c r="S210" s="141" t="s"/>
      <c r="T210" s="141" t="s"/>
      <c r="U210" s="141" t="s"/>
      <c r="V210" s="141" t="s"/>
      <c r="W210" s="141" t="s"/>
      <c r="X210" s="141" t="s"/>
      <c r="Y210" s="141" t="s"/>
      <c r="Z210" s="141" t="s"/>
      <c r="AA210" s="141" t="s"/>
    </row>
    <row r="211" spans="1:27">
      <c r="A211" s="52" t="s">
        <v>478</v>
      </c>
      <c r="B211" s="16" t="s"/>
      <c r="C211" s="41" t="s"/>
      <c r="D211" s="139" t="s">
        <v>471</v>
      </c>
      <c r="E211" s="139" t="s">
        <v>472</v>
      </c>
      <c r="F211" s="141" t="s"/>
      <c r="G211" s="141" t="s"/>
      <c r="H211" s="141" t="s"/>
      <c r="I211" s="141" t="s"/>
      <c r="J211" s="44" t="s"/>
      <c r="K211" s="44" t="s"/>
      <c r="L211" s="141" t="s"/>
      <c r="M211" s="141" t="s"/>
      <c r="N211" s="141" t="s"/>
      <c r="O211" s="141" t="s"/>
      <c r="P211" s="141" t="s"/>
      <c r="Q211" s="141" t="s"/>
      <c r="R211" s="141" t="s"/>
      <c r="S211" s="141" t="s"/>
      <c r="T211" s="141" t="s"/>
      <c r="U211" s="141" t="s"/>
      <c r="V211" s="141" t="s"/>
      <c r="W211" s="141" t="s"/>
      <c r="X211" s="141" t="s"/>
      <c r="Y211" s="141" t="s"/>
      <c r="Z211" s="141" t="s"/>
      <c r="AA211" s="141" t="s"/>
    </row>
    <row r="212" spans="1:27">
      <c r="A212" s="52" t="s">
        <v>479</v>
      </c>
      <c r="B212" s="16" t="s"/>
      <c r="C212" s="41" t="s"/>
      <c r="D212" s="139" t="s">
        <v>471</v>
      </c>
      <c r="E212" s="139" t="s">
        <v>472</v>
      </c>
      <c r="F212" s="141" t="s"/>
      <c r="G212" s="141" t="s"/>
      <c r="H212" s="141" t="s"/>
      <c r="I212" s="141" t="s"/>
      <c r="J212" s="44" t="s"/>
      <c r="K212" s="44" t="s"/>
      <c r="L212" s="141" t="s"/>
      <c r="M212" s="141" t="s"/>
      <c r="N212" s="141" t="s"/>
      <c r="O212" s="141" t="s"/>
      <c r="P212" s="141" t="s"/>
      <c r="Q212" s="141" t="s"/>
      <c r="R212" s="141" t="s"/>
      <c r="S212" s="141" t="s"/>
      <c r="T212" s="141" t="s"/>
      <c r="U212" s="141" t="s"/>
      <c r="V212" s="141" t="s"/>
      <c r="W212" s="141" t="s"/>
      <c r="X212" s="141" t="s"/>
      <c r="Y212" s="141" t="s"/>
      <c r="Z212" s="141" t="s"/>
      <c r="AA212" s="141" t="s"/>
    </row>
    <row r="213" spans="1:27">
      <c r="A213" s="52" t="s">
        <v>480</v>
      </c>
      <c r="B213" s="16" t="s"/>
      <c r="C213" s="41" t="s"/>
      <c r="D213" s="139" t="s">
        <v>471</v>
      </c>
      <c r="E213" s="139" t="s">
        <v>472</v>
      </c>
      <c r="F213" s="141" t="s"/>
      <c r="G213" s="141" t="s"/>
      <c r="H213" s="141" t="s"/>
      <c r="I213" s="141" t="s"/>
      <c r="J213" s="44" t="s"/>
      <c r="K213" s="44" t="s"/>
      <c r="L213" s="141" t="s"/>
      <c r="M213" s="141" t="s"/>
      <c r="N213" s="141" t="s"/>
      <c r="O213" s="141" t="s"/>
      <c r="P213" s="141" t="s"/>
      <c r="Q213" s="141" t="s"/>
      <c r="R213" s="141" t="s"/>
      <c r="S213" s="141" t="s"/>
      <c r="T213" s="141" t="s"/>
      <c r="U213" s="141" t="s"/>
      <c r="V213" s="141" t="s"/>
      <c r="W213" s="141" t="s"/>
      <c r="X213" s="141" t="s"/>
      <c r="Y213" s="141" t="s"/>
      <c r="Z213" s="141" t="s"/>
      <c r="AA213" s="141" t="s"/>
    </row>
    <row r="214" spans="1:27">
      <c r="A214" s="52" t="s">
        <v>481</v>
      </c>
      <c r="B214" s="16" t="s"/>
      <c r="C214" s="97" t="s">
        <v>482</v>
      </c>
      <c r="D214" s="139" t="s">
        <v>471</v>
      </c>
      <c r="E214" s="139" t="s">
        <v>472</v>
      </c>
      <c r="F214" s="87" t="s">
        <v>17</v>
      </c>
      <c r="G214" s="87" t="s">
        <v>17</v>
      </c>
      <c r="H214" s="87" t="s">
        <v>17</v>
      </c>
      <c r="I214" s="57" t="s"/>
      <c r="J214" s="73" t="s">
        <v>219</v>
      </c>
      <c r="K214" s="73" t="s">
        <v>219</v>
      </c>
      <c r="L214" s="57" t="s"/>
      <c r="M214" s="57" t="s"/>
      <c r="N214" s="57" t="s"/>
      <c r="O214" s="57" t="s"/>
      <c r="P214" s="57" t="s"/>
      <c r="Q214" s="57" t="s"/>
      <c r="R214" s="57" t="s"/>
      <c r="S214" s="57" t="s"/>
      <c r="T214" s="57" t="s"/>
      <c r="U214" s="57" t="s"/>
      <c r="V214" s="57" t="s"/>
      <c r="W214" s="57" t="s"/>
      <c r="X214" s="57" t="s"/>
      <c r="Y214" s="57" t="s"/>
      <c r="Z214" s="57" t="s"/>
      <c r="AA214" s="57" t="s"/>
    </row>
    <row r="215" spans="1:27">
      <c r="A215" s="52" t="s"/>
      <c r="B215" s="16" t="s"/>
      <c r="C215" s="97" t="s">
        <v>483</v>
      </c>
      <c r="D215" s="139" t="s">
        <v>471</v>
      </c>
      <c r="E215" s="139" t="s">
        <v>472</v>
      </c>
      <c r="F215" s="87" t="s">
        <v>16</v>
      </c>
      <c r="G215" s="87" t="s">
        <v>16</v>
      </c>
      <c r="H215" s="87" t="s">
        <v>16</v>
      </c>
      <c r="I215" s="57" t="s"/>
      <c r="J215" s="73" t="s">
        <v>219</v>
      </c>
      <c r="K215" s="73" t="s">
        <v>219</v>
      </c>
      <c r="L215" s="57" t="s"/>
      <c r="M215" s="57" t="s"/>
      <c r="N215" s="57" t="s"/>
      <c r="O215" s="57" t="s"/>
      <c r="P215" s="57" t="s"/>
      <c r="Q215" s="57" t="s"/>
      <c r="R215" s="57" t="s"/>
      <c r="S215" s="57" t="s"/>
      <c r="T215" s="57" t="s"/>
      <c r="U215" s="57" t="s"/>
      <c r="V215" s="57" t="s"/>
      <c r="W215" s="57" t="s"/>
      <c r="X215" s="57" t="s"/>
      <c r="Y215" s="57" t="s"/>
      <c r="Z215" s="57" t="s"/>
      <c r="AA215" s="57" t="s"/>
    </row>
    <row r="216" spans="1:27">
      <c r="A216" s="52" t="s">
        <v>484</v>
      </c>
      <c r="B216" s="16" t="s"/>
      <c r="C216" s="41" t="s"/>
      <c r="D216" s="139" t="s">
        <v>471</v>
      </c>
      <c r="E216" s="139" t="s">
        <v>472</v>
      </c>
      <c r="F216" s="141" t="s"/>
      <c r="G216" s="141" t="s"/>
      <c r="H216" s="141" t="s"/>
      <c r="I216" s="141" t="s"/>
      <c r="J216" s="44" t="s"/>
      <c r="K216" s="44" t="s"/>
      <c r="L216" s="141" t="s"/>
      <c r="M216" s="141" t="s"/>
      <c r="N216" s="141" t="s"/>
      <c r="O216" s="141" t="s"/>
      <c r="P216" s="141" t="s"/>
      <c r="Q216" s="141" t="s"/>
      <c r="R216" s="141" t="s"/>
      <c r="S216" s="141" t="s"/>
      <c r="T216" s="141" t="s"/>
      <c r="U216" s="141" t="s"/>
      <c r="V216" s="141" t="s"/>
      <c r="W216" s="141" t="s"/>
      <c r="X216" s="141" t="s"/>
      <c r="Y216" s="141" t="s"/>
      <c r="Z216" s="141" t="s"/>
      <c r="AA216" s="141" t="s"/>
    </row>
    <row r="217" spans="1:27">
      <c r="A217" s="52" t="s">
        <v>485</v>
      </c>
      <c r="B217" s="16" t="s"/>
      <c r="C217" s="41" t="s"/>
      <c r="D217" s="139" t="s">
        <v>471</v>
      </c>
      <c r="E217" s="139" t="s">
        <v>472</v>
      </c>
      <c r="F217" s="141" t="s"/>
      <c r="G217" s="141" t="s"/>
      <c r="H217" s="141" t="s"/>
      <c r="I217" s="141" t="s"/>
      <c r="J217" s="44" t="s"/>
      <c r="K217" s="44" t="s"/>
      <c r="L217" s="141" t="s"/>
      <c r="M217" s="141" t="s"/>
      <c r="N217" s="141" t="s"/>
      <c r="O217" s="141" t="s"/>
      <c r="P217" s="141" t="s"/>
      <c r="Q217" s="141" t="s"/>
      <c r="R217" s="141" t="s"/>
      <c r="S217" s="141" t="s"/>
      <c r="T217" s="141" t="s"/>
      <c r="U217" s="141" t="s"/>
      <c r="V217" s="141" t="s"/>
      <c r="W217" s="141" t="s"/>
      <c r="X217" s="141" t="s"/>
      <c r="Y217" s="141" t="s"/>
      <c r="Z217" s="141" t="s"/>
      <c r="AA217" s="141" t="s"/>
    </row>
    <row r="218" spans="1:27">
      <c r="A218" s="52" t="s">
        <v>486</v>
      </c>
      <c r="B218" s="16" t="s"/>
      <c r="C218" s="41" t="s"/>
      <c r="D218" s="139" t="s">
        <v>471</v>
      </c>
      <c r="E218" s="139" t="s">
        <v>472</v>
      </c>
      <c r="F218" s="141" t="s"/>
      <c r="G218" s="141" t="s"/>
      <c r="H218" s="141" t="s"/>
      <c r="I218" s="141" t="s"/>
      <c r="J218" s="44" t="s"/>
      <c r="K218" s="44" t="s"/>
      <c r="L218" s="141" t="s"/>
      <c r="M218" s="141" t="s"/>
      <c r="N218" s="141" t="s"/>
      <c r="O218" s="141" t="s"/>
      <c r="P218" s="141" t="s"/>
      <c r="Q218" s="141" t="s"/>
      <c r="R218" s="141" t="s"/>
      <c r="S218" s="141" t="s"/>
      <c r="T218" s="141" t="s"/>
      <c r="U218" s="141" t="s"/>
      <c r="V218" s="141" t="s"/>
      <c r="W218" s="141" t="s"/>
      <c r="X218" s="141" t="s"/>
      <c r="Y218" s="141" t="s"/>
      <c r="Z218" s="141" t="s"/>
      <c r="AA218" s="141" t="s"/>
    </row>
    <row r="219" spans="1:27">
      <c r="A219" s="110" t="s">
        <v>487</v>
      </c>
      <c r="B219" s="16" t="s"/>
      <c r="C219" s="41" t="s"/>
      <c r="D219" s="139" t="s">
        <v>471</v>
      </c>
      <c r="E219" s="139" t="s">
        <v>472</v>
      </c>
      <c r="F219" s="57" t="s"/>
      <c r="G219" s="87" t="s">
        <v>488</v>
      </c>
      <c r="H219" s="87" t="s">
        <v>489</v>
      </c>
      <c r="I219" s="57" t="s"/>
      <c r="J219" s="112" t="s">
        <v>490</v>
      </c>
      <c r="K219" s="73" t="s">
        <v>219</v>
      </c>
      <c r="L219" s="57" t="s"/>
      <c r="M219" s="57" t="s"/>
      <c r="N219" s="57" t="s"/>
      <c r="O219" s="57" t="s"/>
      <c r="P219" s="57" t="s"/>
      <c r="Q219" s="57" t="s"/>
      <c r="R219" s="57" t="s"/>
      <c r="S219" s="57" t="s"/>
      <c r="T219" s="57" t="s"/>
      <c r="U219" s="57" t="s"/>
      <c r="V219" s="57" t="s"/>
      <c r="W219" s="57" t="s"/>
      <c r="X219" s="57" t="s"/>
      <c r="Y219" s="57" t="s"/>
      <c r="Z219" s="57" t="s"/>
      <c r="AA219" s="57" t="s"/>
    </row>
    <row r="220" spans="1:27">
      <c r="A220" s="49" t="s">
        <v>491</v>
      </c>
      <c r="B220" s="16" t="s"/>
      <c r="C220" s="41" t="s"/>
      <c r="D220" s="139" t="s">
        <v>471</v>
      </c>
      <c r="E220" s="139" t="s">
        <v>472</v>
      </c>
      <c r="F220" s="87" t="s">
        <v>16</v>
      </c>
      <c r="G220" s="87" t="s">
        <v>16</v>
      </c>
      <c r="H220" s="87" t="s">
        <v>16</v>
      </c>
      <c r="I220" s="57" t="s"/>
      <c r="J220" s="73" t="s">
        <v>219</v>
      </c>
      <c r="K220" s="73" t="s">
        <v>219</v>
      </c>
      <c r="L220" s="57" t="s"/>
      <c r="M220" s="57" t="s"/>
      <c r="N220" s="57" t="s"/>
      <c r="O220" s="57" t="s"/>
      <c r="P220" s="57" t="s"/>
      <c r="Q220" s="57" t="s"/>
      <c r="R220" s="57" t="s"/>
      <c r="S220" s="57" t="s"/>
      <c r="T220" s="57" t="s"/>
      <c r="U220" s="57" t="s"/>
      <c r="V220" s="57" t="s"/>
      <c r="W220" s="57" t="s"/>
      <c r="X220" s="57" t="s"/>
      <c r="Y220" s="57" t="s"/>
      <c r="Z220" s="57" t="s"/>
      <c r="AA220" s="57" t="s"/>
    </row>
    <row r="221" spans="1:27">
      <c r="A221" s="52" t="s">
        <v>492</v>
      </c>
      <c r="B221" s="16" t="s"/>
      <c r="C221" s="97" t="s"/>
      <c r="D221" s="139" t="s">
        <v>471</v>
      </c>
      <c r="E221" s="139" t="s">
        <v>472</v>
      </c>
      <c r="F221" s="87" t="s">
        <v>493</v>
      </c>
      <c r="G221" s="87" t="s">
        <v>493</v>
      </c>
      <c r="H221" s="87" t="s">
        <v>493</v>
      </c>
      <c r="I221" s="57" t="s"/>
      <c r="J221" s="73" t="s">
        <v>219</v>
      </c>
      <c r="K221" s="73" t="s">
        <v>219</v>
      </c>
      <c r="L221" s="57" t="s"/>
      <c r="M221" s="57" t="s"/>
      <c r="N221" s="57" t="s"/>
      <c r="O221" s="57" t="s"/>
      <c r="P221" s="57" t="s"/>
      <c r="Q221" s="57" t="s"/>
      <c r="R221" s="57" t="s"/>
      <c r="S221" s="57" t="s"/>
      <c r="T221" s="57" t="s"/>
      <c r="U221" s="57" t="s"/>
      <c r="V221" s="57" t="s"/>
      <c r="W221" s="57" t="s"/>
      <c r="X221" s="57" t="s"/>
      <c r="Y221" s="57" t="s"/>
      <c r="Z221" s="57" t="s"/>
      <c r="AA221" s="57" t="s"/>
    </row>
    <row r="222" spans="1:27">
      <c r="A222" s="84" t="s">
        <v>494</v>
      </c>
      <c r="B222" s="85" t="s"/>
      <c r="C222" s="61" t="s"/>
      <c r="D222" s="17" t="s"/>
      <c r="E222" s="17" t="s"/>
      <c r="F222" s="86" t="s"/>
      <c r="G222" s="86" t="s"/>
      <c r="H222" s="86" t="s"/>
      <c r="I222" s="86" t="s"/>
      <c r="J222" s="44" t="s"/>
      <c r="K222" s="44" t="s"/>
      <c r="L222" s="86" t="s"/>
      <c r="M222" s="86" t="s"/>
      <c r="N222" s="86" t="s"/>
      <c r="O222" s="86" t="s"/>
      <c r="P222" s="86" t="s"/>
      <c r="Q222" s="86" t="s"/>
      <c r="R222" s="86" t="s"/>
      <c r="S222" s="86" t="s"/>
      <c r="T222" s="86" t="s"/>
      <c r="U222" s="86" t="s"/>
      <c r="V222" s="86" t="s"/>
      <c r="W222" s="86" t="s"/>
      <c r="X222" s="86" t="s"/>
      <c r="Y222" s="86" t="s"/>
      <c r="Z222" s="86" t="s"/>
      <c r="AA222" s="86" t="s"/>
    </row>
    <row r="223" spans="1:27" ht="15.5">
      <c r="A223" s="52" t="s">
        <v>494</v>
      </c>
      <c r="B223" s="16" t="s"/>
      <c r="C223" s="41" t="s"/>
      <c r="D223" s="139" t="s">
        <v>471</v>
      </c>
      <c r="E223" s="139" t="s">
        <v>472</v>
      </c>
      <c r="F223" s="87" t="s">
        <v>473</v>
      </c>
      <c r="G223" s="87" t="s">
        <v>473</v>
      </c>
      <c r="H223" s="87" t="s">
        <v>473</v>
      </c>
      <c r="I223" s="57" t="s"/>
      <c r="J223" s="73" t="s">
        <v>219</v>
      </c>
      <c r="K223" s="73" t="s">
        <v>219</v>
      </c>
      <c r="L223" s="57" t="s"/>
      <c r="M223" s="57" t="s"/>
      <c r="N223" s="57" t="s"/>
      <c r="O223" s="57" t="s"/>
      <c r="P223" s="57" t="s"/>
      <c r="Q223" s="57" t="s"/>
      <c r="R223" s="57" t="s"/>
      <c r="S223" s="57" t="s"/>
      <c r="T223" s="57" t="s"/>
      <c r="U223" s="57" t="s"/>
      <c r="V223" s="57" t="s"/>
      <c r="W223" s="57" t="s"/>
      <c r="X223" s="57" t="s"/>
      <c r="Y223" s="57" t="s"/>
      <c r="Z223" s="57" t="s"/>
      <c r="AA223" s="57" t="s"/>
    </row>
    <row r="224" spans="1:27" ht="15.5">
      <c r="A224" s="52" t="s">
        <v>495</v>
      </c>
      <c r="B224" s="16" t="s"/>
      <c r="C224" s="41" t="s"/>
      <c r="D224" s="139" t="s">
        <v>471</v>
      </c>
      <c r="E224" s="139" t="s">
        <v>472</v>
      </c>
      <c r="F224" s="140">
        <v>1</v>
      </c>
      <c r="G224" s="140">
        <v>1</v>
      </c>
      <c r="H224" s="140">
        <v>1</v>
      </c>
      <c r="I224" s="140" t="s"/>
      <c r="J224" s="73" t="s">
        <v>219</v>
      </c>
      <c r="K224" s="73" t="s">
        <v>219</v>
      </c>
      <c r="L224" s="140" t="s"/>
      <c r="M224" s="140" t="s"/>
      <c r="N224" s="140" t="s"/>
      <c r="O224" s="140" t="s"/>
      <c r="P224" s="140" t="s"/>
      <c r="Q224" s="140" t="s"/>
      <c r="R224" s="140" t="s"/>
      <c r="S224" s="140" t="s"/>
      <c r="T224" s="140" t="s"/>
      <c r="U224" s="140" t="s"/>
      <c r="V224" s="140" t="s"/>
      <c r="W224" s="140" t="s"/>
      <c r="X224" s="140" t="s"/>
      <c r="Y224" s="140" t="s"/>
      <c r="Z224" s="140" t="s"/>
      <c r="AA224" s="140" t="s"/>
    </row>
    <row r="225" spans="1:27" ht="15.5">
      <c r="A225" s="52" t="s">
        <v>496</v>
      </c>
      <c r="B225" s="16" t="s"/>
      <c r="C225" s="41" t="s"/>
      <c r="D225" s="139" t="s">
        <v>471</v>
      </c>
      <c r="E225" s="139" t="s">
        <v>472</v>
      </c>
      <c r="F225" s="141">
        <v>2</v>
      </c>
      <c r="G225" s="141">
        <v>5</v>
      </c>
      <c r="H225" s="141">
        <v>5</v>
      </c>
      <c r="I225" s="141" t="s"/>
      <c r="J225" s="73" t="s">
        <v>219</v>
      </c>
      <c r="K225" s="73" t="s">
        <v>219</v>
      </c>
      <c r="L225" s="141" t="s"/>
      <c r="M225" s="141" t="s"/>
      <c r="N225" s="141" t="s"/>
      <c r="O225" s="141" t="s"/>
      <c r="P225" s="141" t="s"/>
      <c r="Q225" s="141" t="s"/>
      <c r="R225" s="141" t="s"/>
      <c r="S225" s="141" t="s"/>
      <c r="T225" s="141" t="s"/>
      <c r="U225" s="141" t="s"/>
      <c r="V225" s="141" t="s"/>
      <c r="W225" s="141" t="s"/>
      <c r="X225" s="141" t="s"/>
      <c r="Y225" s="141" t="s"/>
      <c r="Z225" s="141" t="s"/>
      <c r="AA225" s="141" t="s"/>
    </row>
    <row r="226" spans="1:27" ht="15.5">
      <c r="A226" s="52" t="s">
        <v>497</v>
      </c>
      <c r="B226" s="16" t="s"/>
      <c r="C226" s="41" t="s"/>
      <c r="D226" s="139" t="s">
        <v>471</v>
      </c>
      <c r="E226" s="139" t="s">
        <v>472</v>
      </c>
      <c r="F226" s="141" t="s"/>
      <c r="G226" s="141" t="s"/>
      <c r="H226" s="141" t="s"/>
      <c r="I226" s="141" t="s"/>
      <c r="J226" s="44" t="s"/>
      <c r="K226" s="44" t="s"/>
      <c r="L226" s="141" t="s"/>
      <c r="M226" s="141" t="s"/>
      <c r="N226" s="141" t="s"/>
      <c r="O226" s="141" t="s"/>
      <c r="P226" s="141" t="s"/>
      <c r="Q226" s="141" t="s"/>
      <c r="R226" s="141" t="s"/>
      <c r="S226" s="141" t="s"/>
      <c r="T226" s="141" t="s"/>
      <c r="U226" s="141" t="s"/>
      <c r="V226" s="141" t="s"/>
      <c r="W226" s="141" t="s"/>
      <c r="X226" s="141" t="s"/>
      <c r="Y226" s="141" t="s"/>
      <c r="Z226" s="141" t="s"/>
      <c r="AA226" s="141" t="s"/>
    </row>
    <row r="227" spans="1:27">
      <c r="A227" s="52" t="s">
        <v>498</v>
      </c>
      <c r="B227" s="16" t="s"/>
      <c r="C227" s="97" t="s">
        <v>482</v>
      </c>
      <c r="D227" s="139" t="s">
        <v>471</v>
      </c>
      <c r="E227" s="139" t="s">
        <v>472</v>
      </c>
      <c r="F227" s="87" t="s">
        <v>17</v>
      </c>
      <c r="G227" s="87" t="s">
        <v>17</v>
      </c>
      <c r="H227" s="87" t="s">
        <v>17</v>
      </c>
      <c r="I227" s="57" t="s"/>
      <c r="J227" s="73" t="s">
        <v>219</v>
      </c>
      <c r="K227" s="73" t="s">
        <v>219</v>
      </c>
      <c r="L227" s="57" t="s"/>
      <c r="M227" s="57" t="s"/>
      <c r="N227" s="57" t="s"/>
      <c r="O227" s="57" t="s"/>
      <c r="P227" s="57" t="s"/>
      <c r="Q227" s="57" t="s"/>
      <c r="R227" s="57" t="s"/>
      <c r="S227" s="57" t="s"/>
      <c r="T227" s="57" t="s"/>
      <c r="U227" s="57" t="s"/>
      <c r="V227" s="57" t="s"/>
      <c r="W227" s="57" t="s"/>
      <c r="X227" s="57" t="s"/>
      <c r="Y227" s="57" t="s"/>
      <c r="Z227" s="57" t="s"/>
      <c r="AA227" s="57" t="s"/>
    </row>
    <row r="228" spans="1:27">
      <c r="A228" s="52" t="s"/>
      <c r="B228" s="16" t="s"/>
      <c r="C228" s="97" t="s">
        <v>483</v>
      </c>
      <c r="D228" s="139" t="s">
        <v>471</v>
      </c>
      <c r="E228" s="139" t="s">
        <v>472</v>
      </c>
      <c r="F228" s="87" t="s">
        <v>16</v>
      </c>
      <c r="G228" s="87" t="s">
        <v>16</v>
      </c>
      <c r="H228" s="87" t="s">
        <v>16</v>
      </c>
      <c r="I228" s="57" t="s"/>
      <c r="J228" s="73" t="s">
        <v>219</v>
      </c>
      <c r="K228" s="73" t="s">
        <v>219</v>
      </c>
      <c r="L228" s="57" t="s"/>
      <c r="M228" s="57" t="s"/>
      <c r="N228" s="57" t="s"/>
      <c r="O228" s="57" t="s"/>
      <c r="P228" s="57" t="s"/>
      <c r="Q228" s="57" t="s"/>
      <c r="R228" s="57" t="s"/>
      <c r="S228" s="57" t="s"/>
      <c r="T228" s="57" t="s"/>
      <c r="U228" s="57" t="s"/>
      <c r="V228" s="57" t="s"/>
      <c r="W228" s="57" t="s"/>
      <c r="X228" s="57" t="s"/>
      <c r="Y228" s="57" t="s"/>
      <c r="Z228" s="57" t="s"/>
      <c r="AA228" s="57" t="s"/>
    </row>
    <row r="229" spans="1:27" ht="15.5">
      <c r="A229" s="52" t="s">
        <v>499</v>
      </c>
      <c r="B229" s="16" t="s"/>
      <c r="C229" s="41" t="s"/>
      <c r="D229" s="139" t="s">
        <v>471</v>
      </c>
      <c r="E229" s="139" t="s">
        <v>472</v>
      </c>
      <c r="F229" s="141" t="s"/>
      <c r="G229" s="141" t="s"/>
      <c r="H229" s="141" t="s"/>
      <c r="I229" s="141" t="s"/>
      <c r="J229" s="44" t="s"/>
      <c r="K229" s="44" t="s"/>
      <c r="L229" s="141" t="s"/>
      <c r="M229" s="141" t="s"/>
      <c r="N229" s="141" t="s"/>
      <c r="O229" s="141" t="s"/>
      <c r="P229" s="141" t="s"/>
      <c r="Q229" s="141" t="s"/>
      <c r="R229" s="141" t="s"/>
      <c r="S229" s="141" t="s"/>
      <c r="T229" s="141" t="s"/>
      <c r="U229" s="141" t="s"/>
      <c r="V229" s="141" t="s"/>
      <c r="W229" s="141" t="s"/>
      <c r="X229" s="141" t="s"/>
      <c r="Y229" s="141" t="s"/>
      <c r="Z229" s="141" t="s"/>
      <c r="AA229" s="141" t="s"/>
    </row>
    <row r="230" spans="1:27" ht="15.5">
      <c r="A230" s="52" t="s">
        <v>500</v>
      </c>
      <c r="B230" s="16" t="s"/>
      <c r="C230" s="41" t="s"/>
      <c r="D230" s="139" t="s">
        <v>471</v>
      </c>
      <c r="E230" s="139" t="s">
        <v>472</v>
      </c>
      <c r="F230" s="141" t="s"/>
      <c r="G230" s="141" t="s"/>
      <c r="H230" s="141" t="s"/>
      <c r="I230" s="141" t="s"/>
      <c r="J230" s="44" t="s"/>
      <c r="K230" s="44" t="s"/>
      <c r="L230" s="141" t="s"/>
      <c r="M230" s="141" t="s"/>
      <c r="N230" s="141" t="s"/>
      <c r="O230" s="141" t="s"/>
      <c r="P230" s="141" t="s"/>
      <c r="Q230" s="141" t="s"/>
      <c r="R230" s="141" t="s"/>
      <c r="S230" s="141" t="s"/>
      <c r="T230" s="141" t="s"/>
      <c r="U230" s="141" t="s"/>
      <c r="V230" s="141" t="s"/>
      <c r="W230" s="141" t="s"/>
      <c r="X230" s="141" t="s"/>
      <c r="Y230" s="141" t="s"/>
      <c r="Z230" s="141" t="s"/>
      <c r="AA230" s="141" t="s"/>
    </row>
    <row r="231" spans="1:27" ht="15.5">
      <c r="A231" s="52" t="s">
        <v>501</v>
      </c>
      <c r="B231" s="16" t="s"/>
      <c r="C231" s="41" t="s"/>
      <c r="D231" s="139" t="s">
        <v>471</v>
      </c>
      <c r="E231" s="139" t="s">
        <v>472</v>
      </c>
      <c r="F231" s="141" t="s"/>
      <c r="G231" s="141" t="s"/>
      <c r="H231" s="141" t="s"/>
      <c r="I231" s="141" t="s"/>
      <c r="J231" s="44" t="s"/>
      <c r="K231" s="44" t="s"/>
      <c r="L231" s="141" t="s"/>
      <c r="M231" s="141" t="s"/>
      <c r="N231" s="141" t="s"/>
      <c r="O231" s="141" t="s"/>
      <c r="P231" s="141" t="s"/>
      <c r="Q231" s="141" t="s"/>
      <c r="R231" s="141" t="s"/>
      <c r="S231" s="141" t="s"/>
      <c r="T231" s="141" t="s"/>
      <c r="U231" s="141" t="s"/>
      <c r="V231" s="141" t="s"/>
      <c r="W231" s="141" t="s"/>
      <c r="X231" s="141" t="s"/>
      <c r="Y231" s="141" t="s"/>
      <c r="Z231" s="141" t="s"/>
      <c r="AA231" s="141" t="s"/>
    </row>
    <row r="232" spans="1:27">
      <c r="A232" s="84" t="s">
        <v>502</v>
      </c>
      <c r="B232" s="142" t="s"/>
      <c r="C232" s="61" t="s"/>
      <c r="D232" s="17" t="s"/>
      <c r="E232" s="17" t="s"/>
      <c r="F232" s="86" t="s"/>
      <c r="G232" s="86" t="s"/>
      <c r="H232" s="86" t="s"/>
      <c r="I232" s="86" t="s"/>
      <c r="J232" s="44" t="s"/>
      <c r="K232" s="44" t="s"/>
      <c r="L232" s="86" t="s"/>
      <c r="M232" s="86" t="s"/>
      <c r="N232" s="86" t="s"/>
      <c r="O232" s="86" t="s"/>
      <c r="P232" s="86" t="s"/>
      <c r="Q232" s="86" t="s"/>
      <c r="R232" s="86" t="s"/>
      <c r="S232" s="86" t="s"/>
      <c r="T232" s="86" t="s"/>
      <c r="U232" s="86" t="s"/>
      <c r="V232" s="86" t="s"/>
      <c r="W232" s="86" t="s"/>
      <c r="X232" s="86" t="s"/>
      <c r="Y232" s="86" t="s"/>
      <c r="Z232" s="86" t="s"/>
      <c r="AA232" s="86" t="s"/>
    </row>
    <row r="233" spans="1:27">
      <c r="A233" s="52" t="s">
        <v>503</v>
      </c>
      <c r="B233" s="16" t="s"/>
      <c r="C233" s="143" t="s">
        <v>504</v>
      </c>
      <c r="D233" s="139" t="s">
        <v>272</v>
      </c>
      <c r="E233" s="139" t="s">
        <v>273</v>
      </c>
      <c r="F233" s="87" t="s">
        <v>17</v>
      </c>
      <c r="G233" s="87" t="s">
        <v>17</v>
      </c>
      <c r="H233" s="87" t="s">
        <v>17</v>
      </c>
      <c r="I233" s="57" t="s"/>
      <c r="J233" s="44" t="s">
        <v>219</v>
      </c>
      <c r="K233" s="44" t="s">
        <v>219</v>
      </c>
      <c r="L233" s="57" t="s"/>
      <c r="M233" s="57" t="s"/>
      <c r="N233" s="57" t="s"/>
      <c r="O233" s="57" t="s"/>
      <c r="P233" s="57" t="s"/>
      <c r="Q233" s="57" t="s"/>
      <c r="R233" s="57" t="s"/>
      <c r="S233" s="57" t="s"/>
      <c r="T233" s="57" t="s"/>
      <c r="U233" s="57" t="s"/>
      <c r="V233" s="57" t="s"/>
      <c r="W233" s="57" t="s"/>
      <c r="X233" s="57" t="s"/>
      <c r="Y233" s="57" t="s"/>
      <c r="Z233" s="57" t="s"/>
      <c r="AA233" s="57" t="s"/>
    </row>
    <row r="234" spans="1:27">
      <c r="A234" s="52" t="s"/>
      <c r="B234" s="16" t="s"/>
      <c r="C234" s="97" t="s">
        <v>505</v>
      </c>
      <c r="D234" s="139" t="s">
        <v>272</v>
      </c>
      <c r="E234" s="139" t="s">
        <v>273</v>
      </c>
      <c r="F234" s="87" t="s">
        <v>17</v>
      </c>
      <c r="G234" s="87" t="s">
        <v>17</v>
      </c>
      <c r="H234" s="87" t="s">
        <v>17</v>
      </c>
      <c r="I234" s="57" t="s"/>
      <c r="J234" s="44" t="s">
        <v>219</v>
      </c>
      <c r="K234" s="44" t="s">
        <v>219</v>
      </c>
      <c r="L234" s="57" t="s"/>
      <c r="M234" s="57" t="s"/>
      <c r="N234" s="57" t="s"/>
      <c r="O234" s="57" t="s"/>
      <c r="P234" s="57" t="s"/>
      <c r="Q234" s="57" t="s"/>
      <c r="R234" s="57" t="s"/>
      <c r="S234" s="57" t="s"/>
      <c r="T234" s="57" t="s"/>
      <c r="U234" s="57" t="s"/>
      <c r="V234" s="57" t="s"/>
      <c r="W234" s="57" t="s"/>
      <c r="X234" s="57" t="s"/>
      <c r="Y234" s="57" t="s"/>
      <c r="Z234" s="57" t="s"/>
      <c r="AA234" s="57" t="s"/>
    </row>
    <row r="235" spans="1:27">
      <c r="A235" s="52" t="s"/>
      <c r="B235" s="16" t="s"/>
      <c r="C235" s="97" t="s">
        <v>506</v>
      </c>
      <c r="D235" s="139" t="s">
        <v>272</v>
      </c>
      <c r="E235" s="139" t="s">
        <v>273</v>
      </c>
      <c r="F235" s="87" t="s">
        <v>17</v>
      </c>
      <c r="G235" s="87" t="s">
        <v>17</v>
      </c>
      <c r="H235" s="87" t="s">
        <v>17</v>
      </c>
      <c r="I235" s="57" t="s"/>
      <c r="J235" s="44" t="s">
        <v>219</v>
      </c>
      <c r="K235" s="44" t="s">
        <v>219</v>
      </c>
      <c r="L235" s="57" t="s"/>
      <c r="M235" s="57" t="s"/>
      <c r="N235" s="57" t="s"/>
      <c r="O235" s="57" t="s"/>
      <c r="P235" s="57" t="s"/>
      <c r="Q235" s="57" t="s"/>
      <c r="R235" s="57" t="s"/>
      <c r="S235" s="57" t="s"/>
      <c r="T235" s="57" t="s"/>
      <c r="U235" s="57" t="s"/>
      <c r="V235" s="57" t="s"/>
      <c r="W235" s="57" t="s"/>
      <c r="X235" s="57" t="s"/>
      <c r="Y235" s="57" t="s"/>
      <c r="Z235" s="57" t="s"/>
      <c r="AA235" s="57" t="s"/>
    </row>
    <row r="236" spans="1:27">
      <c r="A236" s="52" t="s">
        <v>507</v>
      </c>
      <c r="B236" s="16" t="s"/>
      <c r="C236" s="97" t="s">
        <v>508</v>
      </c>
      <c r="D236" s="139" t="s">
        <v>272</v>
      </c>
      <c r="E236" s="139" t="s">
        <v>273</v>
      </c>
      <c r="F236" s="87" t="s">
        <v>17</v>
      </c>
      <c r="G236" s="87" t="s">
        <v>17</v>
      </c>
      <c r="H236" s="87" t="s">
        <v>17</v>
      </c>
      <c r="I236" s="57" t="s"/>
      <c r="J236" s="44" t="s">
        <v>219</v>
      </c>
      <c r="K236" s="44" t="s">
        <v>219</v>
      </c>
      <c r="L236" s="57" t="s"/>
      <c r="M236" s="57" t="s"/>
      <c r="N236" s="57" t="s"/>
      <c r="O236" s="57" t="s"/>
      <c r="P236" s="57" t="s"/>
      <c r="Q236" s="57" t="s"/>
      <c r="R236" s="57" t="s"/>
      <c r="S236" s="57" t="s"/>
      <c r="T236" s="57" t="s"/>
      <c r="U236" s="57" t="s"/>
      <c r="V236" s="57" t="s"/>
      <c r="W236" s="57" t="s"/>
      <c r="X236" s="57" t="s"/>
      <c r="Y236" s="57" t="s"/>
      <c r="Z236" s="57" t="s"/>
      <c r="AA236" s="57" t="s"/>
    </row>
    <row r="237" spans="1:27">
      <c r="A237" s="52" t="s"/>
      <c r="B237" s="16" t="s"/>
      <c r="C237" s="144" t="s">
        <v>509</v>
      </c>
      <c r="D237" s="139" t="s">
        <v>272</v>
      </c>
      <c r="E237" s="139" t="s">
        <v>273</v>
      </c>
      <c r="F237" s="87" t="s">
        <v>17</v>
      </c>
      <c r="G237" s="87" t="s">
        <v>17</v>
      </c>
      <c r="H237" s="87" t="s">
        <v>17</v>
      </c>
      <c r="I237" s="57" t="s"/>
      <c r="J237" s="44" t="s">
        <v>219</v>
      </c>
      <c r="K237" s="44" t="s">
        <v>219</v>
      </c>
      <c r="L237" s="57" t="s"/>
      <c r="M237" s="57" t="s"/>
      <c r="N237" s="57" t="s"/>
      <c r="O237" s="57" t="s"/>
      <c r="P237" s="57" t="s"/>
      <c r="Q237" s="57" t="s"/>
      <c r="R237" s="57" t="s"/>
      <c r="S237" s="57" t="s"/>
      <c r="T237" s="57" t="s"/>
      <c r="U237" s="57" t="s"/>
      <c r="V237" s="57" t="s"/>
      <c r="W237" s="57" t="s"/>
      <c r="X237" s="57" t="s"/>
      <c r="Y237" s="57" t="s"/>
      <c r="Z237" s="57" t="s"/>
      <c r="AA237" s="57" t="s"/>
    </row>
    <row r="238" spans="1:27">
      <c r="A238" s="52" t="s"/>
      <c r="B238" s="16" t="s"/>
      <c r="C238" s="97" t="s">
        <v>510</v>
      </c>
      <c r="D238" s="139" t="s">
        <v>272</v>
      </c>
      <c r="E238" s="139" t="s">
        <v>273</v>
      </c>
      <c r="F238" s="87" t="s">
        <v>17</v>
      </c>
      <c r="G238" s="87" t="s">
        <v>17</v>
      </c>
      <c r="H238" s="87" t="s">
        <v>17</v>
      </c>
      <c r="I238" s="57" t="s"/>
      <c r="J238" s="44" t="s">
        <v>219</v>
      </c>
      <c r="K238" s="44" t="s">
        <v>219</v>
      </c>
      <c r="L238" s="57" t="s"/>
      <c r="M238" s="57" t="s"/>
      <c r="N238" s="57" t="s"/>
      <c r="O238" s="57" t="s"/>
      <c r="P238" s="57" t="s"/>
      <c r="Q238" s="57" t="s"/>
      <c r="R238" s="57" t="s"/>
      <c r="S238" s="57" t="s"/>
      <c r="T238" s="57" t="s"/>
      <c r="U238" s="57" t="s"/>
      <c r="V238" s="57" t="s"/>
      <c r="W238" s="57" t="s"/>
      <c r="X238" s="57" t="s"/>
      <c r="Y238" s="57" t="s"/>
      <c r="Z238" s="57" t="s"/>
      <c r="AA238" s="57" t="s"/>
    </row>
    <row r="239" spans="1:27">
      <c r="A239" s="110" t="s">
        <v>511</v>
      </c>
      <c r="B239" s="16" t="s"/>
      <c r="C239" s="97" t="s"/>
      <c r="D239" s="139" t="s">
        <v>272</v>
      </c>
      <c r="E239" s="139" t="s">
        <v>273</v>
      </c>
      <c r="F239" s="87" t="s">
        <v>16</v>
      </c>
      <c r="G239" s="87" t="s">
        <v>16</v>
      </c>
      <c r="H239" s="87" t="s">
        <v>16</v>
      </c>
      <c r="I239" s="57" t="s"/>
      <c r="J239" s="44" t="s">
        <v>219</v>
      </c>
      <c r="K239" s="44" t="s">
        <v>219</v>
      </c>
      <c r="L239" s="57" t="s"/>
      <c r="M239" s="57" t="s"/>
      <c r="N239" s="57" t="s"/>
      <c r="O239" s="57" t="s"/>
      <c r="P239" s="57" t="s"/>
      <c r="Q239" s="57" t="s"/>
      <c r="R239" s="57" t="s"/>
      <c r="S239" s="57" t="s"/>
      <c r="T239" s="57" t="s"/>
      <c r="U239" s="57" t="s"/>
      <c r="V239" s="57" t="s"/>
      <c r="W239" s="57" t="s"/>
      <c r="X239" s="57" t="s"/>
      <c r="Y239" s="57" t="s"/>
      <c r="Z239" s="57" t="s"/>
      <c r="AA239" s="57" t="s"/>
    </row>
    <row r="240" spans="1:27">
      <c r="A240" s="84" t="s">
        <v>512</v>
      </c>
      <c r="B240" s="142" t="s"/>
      <c r="C240" s="61" t="s"/>
      <c r="D240" s="17" t="s"/>
      <c r="E240" s="17" t="s"/>
      <c r="F240" s="86" t="s"/>
      <c r="G240" s="86" t="s"/>
      <c r="H240" s="86" t="s"/>
      <c r="I240" s="86" t="s"/>
      <c r="J240" s="44" t="s"/>
      <c r="K240" s="44" t="s"/>
      <c r="L240" s="86" t="s"/>
      <c r="M240" s="86" t="s"/>
      <c r="N240" s="86" t="s"/>
      <c r="O240" s="86" t="s"/>
      <c r="P240" s="86" t="s"/>
      <c r="Q240" s="86" t="s"/>
      <c r="R240" s="86" t="s"/>
      <c r="S240" s="86" t="s"/>
      <c r="T240" s="86" t="s"/>
      <c r="U240" s="86" t="s"/>
      <c r="V240" s="86" t="s"/>
      <c r="W240" s="86" t="s"/>
      <c r="X240" s="86" t="s"/>
      <c r="Y240" s="86" t="s"/>
      <c r="Z240" s="86" t="s"/>
      <c r="AA240" s="86" t="s"/>
    </row>
    <row r="241" spans="1:27">
      <c r="A241" s="118" t="s">
        <v>513</v>
      </c>
      <c r="B241" s="67" t="s"/>
      <c r="C241" s="41" t="s"/>
      <c r="D241" s="139" t="s">
        <v>272</v>
      </c>
      <c r="E241" s="139" t="s">
        <v>273</v>
      </c>
      <c r="F241" s="87" t="s">
        <v>16</v>
      </c>
      <c r="G241" s="130" t="s">
        <v>16</v>
      </c>
      <c r="H241" s="145" t="s">
        <v>16</v>
      </c>
      <c r="I241" s="44" t="s"/>
      <c r="J241" s="44" t="s">
        <v>219</v>
      </c>
      <c r="K241" s="44" t="s">
        <v>514</v>
      </c>
      <c r="L241" s="57" t="s"/>
      <c r="M241" s="57" t="s"/>
      <c r="N241" s="57" t="s"/>
      <c r="O241" s="57" t="s"/>
      <c r="P241" s="57" t="s"/>
      <c r="Q241" s="57" t="s"/>
      <c r="R241" s="57" t="s"/>
      <c r="S241" s="57" t="s"/>
      <c r="T241" s="57" t="s"/>
      <c r="U241" s="57" t="s"/>
      <c r="V241" s="57" t="s"/>
      <c r="W241" s="57" t="s"/>
      <c r="X241" s="57" t="s"/>
      <c r="Y241" s="57" t="s"/>
      <c r="Z241" s="57" t="s"/>
      <c r="AA241" s="57" t="s"/>
    </row>
    <row r="242" spans="1:27">
      <c r="A242" s="52" t="s">
        <v>515</v>
      </c>
      <c r="B242" s="16" t="s"/>
      <c r="C242" s="41" t="s"/>
      <c r="D242" s="139" t="s">
        <v>272</v>
      </c>
      <c r="E242" s="139" t="s">
        <v>273</v>
      </c>
      <c r="F242" s="87" t="s">
        <v>516</v>
      </c>
      <c r="G242" s="87" t="s">
        <v>516</v>
      </c>
      <c r="H242" s="87" t="s">
        <v>516</v>
      </c>
      <c r="I242" s="57" t="s"/>
      <c r="J242" s="44" t="s">
        <v>219</v>
      </c>
      <c r="K242" s="44" t="s">
        <v>219</v>
      </c>
      <c r="L242" s="57" t="s"/>
      <c r="M242" s="57" t="s"/>
      <c r="N242" s="57" t="s"/>
      <c r="O242" s="57" t="s"/>
      <c r="P242" s="57" t="s"/>
      <c r="Q242" s="57" t="s"/>
      <c r="R242" s="57" t="s"/>
      <c r="S242" s="57" t="s"/>
      <c r="T242" s="57" t="s"/>
      <c r="U242" s="57" t="s"/>
      <c r="V242" s="57" t="s"/>
      <c r="W242" s="57" t="s"/>
      <c r="X242" s="57" t="s"/>
      <c r="Y242" s="57" t="s"/>
      <c r="Z242" s="57" t="s"/>
      <c r="AA242" s="57" t="s"/>
    </row>
    <row r="243" spans="1:27">
      <c r="A243" s="84" t="s">
        <v>517</v>
      </c>
      <c r="B243" s="85" t="s"/>
      <c r="C243" s="61" t="s"/>
      <c r="D243" s="17" t="s"/>
      <c r="E243" s="17" t="s"/>
      <c r="F243" s="86" t="s"/>
      <c r="G243" s="86" t="s"/>
      <c r="H243" s="86" t="s"/>
      <c r="I243" s="86" t="s"/>
      <c r="J243" s="44" t="s"/>
      <c r="K243" s="44" t="s"/>
      <c r="L243" s="86" t="s"/>
      <c r="M243" s="86" t="s"/>
      <c r="N243" s="86" t="s"/>
      <c r="O243" s="86" t="s"/>
      <c r="P243" s="86" t="s"/>
      <c r="Q243" s="86" t="s"/>
      <c r="R243" s="86" t="s"/>
      <c r="S243" s="86" t="s"/>
      <c r="T243" s="86" t="s"/>
      <c r="U243" s="86" t="s"/>
      <c r="V243" s="86" t="s"/>
      <c r="W243" s="86" t="s"/>
      <c r="X243" s="86" t="s"/>
      <c r="Y243" s="86" t="s"/>
      <c r="Z243" s="86" t="s"/>
      <c r="AA243" s="86" t="s"/>
    </row>
    <row r="244" spans="1:27">
      <c r="A244" s="110" t="s">
        <v>518</v>
      </c>
      <c r="B244" s="52" t="s"/>
      <c r="C244" s="41" t="s"/>
      <c r="D244" s="37" t="s">
        <v>222</v>
      </c>
      <c r="E244" s="37" t="s">
        <v>519</v>
      </c>
      <c r="F244" s="146" t="s"/>
      <c r="G244" s="147">
        <v>1.197</v>
      </c>
      <c r="H244" s="147">
        <v>1.219</v>
      </c>
      <c r="I244" s="147" t="s"/>
      <c r="J244" s="44" t="s"/>
      <c r="K244" s="44" t="s"/>
      <c r="L244" s="147" t="s"/>
      <c r="M244" s="147" t="s"/>
      <c r="N244" s="147" t="s"/>
      <c r="O244" s="147" t="s"/>
      <c r="P244" s="147" t="s"/>
      <c r="Q244" s="147" t="s"/>
      <c r="R244" s="147" t="s"/>
      <c r="S244" s="147" t="s"/>
      <c r="T244" s="147" t="s"/>
      <c r="U244" s="147" t="s"/>
      <c r="V244" s="147" t="s"/>
      <c r="W244" s="147" t="s"/>
      <c r="X244" s="147" t="s"/>
      <c r="Y244" s="147" t="s"/>
      <c r="Z244" s="147" t="s"/>
      <c r="AA244" s="147" t="s"/>
    </row>
    <row r="245" spans="1:27">
      <c r="A245" s="110" t="s">
        <v>520</v>
      </c>
      <c r="B245" s="52" t="s"/>
      <c r="C245" s="41" t="s"/>
      <c r="D245" s="37" t="s">
        <v>222</v>
      </c>
      <c r="E245" s="37" t="s">
        <v>519</v>
      </c>
      <c r="F245" s="148" t="s"/>
      <c r="G245" s="147">
        <v>1.552</v>
      </c>
      <c r="H245" s="147">
        <v>1.551</v>
      </c>
      <c r="I245" s="147" t="s"/>
      <c r="J245" s="44" t="s"/>
      <c r="K245" s="44" t="s"/>
      <c r="L245" s="147" t="s"/>
      <c r="M245" s="147" t="s"/>
      <c r="N245" s="147" t="s"/>
      <c r="O245" s="147" t="s"/>
      <c r="P245" s="147" t="s"/>
      <c r="Q245" s="147" t="s"/>
      <c r="R245" s="147" t="s"/>
      <c r="S245" s="147" t="s"/>
      <c r="T245" s="147" t="s"/>
      <c r="U245" s="147" t="s"/>
      <c r="V245" s="147" t="s"/>
      <c r="W245" s="147" t="s"/>
      <c r="X245" s="147" t="s"/>
      <c r="Y245" s="147" t="s"/>
      <c r="Z245" s="147" t="s"/>
      <c r="AA245" s="147" t="s"/>
    </row>
    <row r="246" spans="1:27">
      <c r="A246" s="123" t="s">
        <v>521</v>
      </c>
      <c r="B246" s="121" t="s"/>
      <c r="C246" s="41" t="s"/>
      <c r="D246" s="37" t="s">
        <v>222</v>
      </c>
      <c r="E246" s="37" t="s">
        <v>519</v>
      </c>
      <c r="F246" s="148" t="s"/>
      <c r="G246" s="147">
        <v>3.141</v>
      </c>
      <c r="H246" s="147">
        <v>3.521</v>
      </c>
      <c r="I246" s="147" t="s"/>
      <c r="J246" s="44" t="s"/>
      <c r="K246" s="44" t="s"/>
      <c r="L246" s="147" t="s"/>
      <c r="M246" s="147" t="s"/>
      <c r="N246" s="147" t="s"/>
      <c r="O246" s="147" t="s"/>
      <c r="P246" s="147" t="s"/>
      <c r="Q246" s="147" t="s"/>
      <c r="R246" s="147" t="s"/>
      <c r="S246" s="147" t="s"/>
      <c r="T246" s="147" t="s"/>
      <c r="U246" s="147" t="s"/>
      <c r="V246" s="147" t="s"/>
      <c r="W246" s="147" t="s"/>
      <c r="X246" s="147" t="s"/>
      <c r="Y246" s="147" t="s"/>
      <c r="Z246" s="147" t="s"/>
      <c r="AA246" s="147" t="s"/>
    </row>
    <row r="247" spans="1:27">
      <c r="A247" s="34" t="s">
        <v>522</v>
      </c>
      <c r="B247" s="35" t="s"/>
      <c r="C247" s="36" t="s"/>
      <c r="D247" s="17" t="s"/>
      <c r="E247" s="17" t="s"/>
      <c r="F247" s="36" t="s"/>
      <c r="G247" s="36" t="s"/>
      <c r="H247" s="36" t="s"/>
      <c r="I247" s="36" t="s"/>
      <c r="J247" s="44" t="s"/>
      <c r="K247" s="44" t="s"/>
      <c r="L247" s="36" t="s"/>
      <c r="M247" s="36" t="s"/>
      <c r="N247" s="36" t="s"/>
      <c r="O247" s="36" t="s"/>
      <c r="P247" s="36" t="s"/>
      <c r="Q247" s="36" t="s"/>
      <c r="R247" s="36" t="s"/>
      <c r="S247" s="36" t="s"/>
      <c r="T247" s="36" t="s"/>
      <c r="U247" s="36" t="s"/>
      <c r="V247" s="36" t="s"/>
      <c r="W247" s="36" t="s"/>
      <c r="X247" s="36" t="s"/>
      <c r="Y247" s="36" t="s"/>
      <c r="Z247" s="36" t="s"/>
      <c r="AA247" s="36" t="s"/>
    </row>
    <row r="248" spans="1:27">
      <c r="A248" s="134" t="s">
        <v>523</v>
      </c>
      <c r="B248" s="135" t="s"/>
      <c r="C248" s="149" t="s"/>
      <c r="D248" s="17" t="s"/>
      <c r="E248" s="17" t="s"/>
      <c r="F248" s="86" t="s"/>
      <c r="G248" s="86" t="s"/>
      <c r="H248" s="86" t="s"/>
      <c r="I248" s="86" t="s"/>
      <c r="J248" s="44" t="s"/>
      <c r="K248" s="44" t="s"/>
      <c r="L248" s="86" t="s"/>
      <c r="M248" s="86" t="s"/>
      <c r="N248" s="86" t="s"/>
      <c r="O248" s="86" t="s"/>
      <c r="P248" s="86" t="s"/>
      <c r="Q248" s="86" t="s"/>
      <c r="R248" s="86" t="s"/>
      <c r="S248" s="86" t="s"/>
      <c r="T248" s="86" t="s"/>
      <c r="U248" s="86" t="s"/>
      <c r="V248" s="86" t="s"/>
      <c r="W248" s="86" t="s"/>
      <c r="X248" s="86" t="s"/>
      <c r="Y248" s="86" t="s"/>
      <c r="Z248" s="86" t="s"/>
      <c r="AA248" s="86" t="s"/>
    </row>
    <row r="249" spans="1:27">
      <c r="A249" s="52" t="s">
        <v>524</v>
      </c>
      <c r="B249" s="52" t="s"/>
      <c r="C249" s="63" t="s">
        <v>243</v>
      </c>
      <c r="D249" s="17" t="s"/>
      <c r="E249" s="17" t="s"/>
      <c r="F249" s="150" t="s"/>
      <c r="G249" s="150" t="s"/>
      <c r="H249" s="150" t="s"/>
      <c r="I249" s="150" t="s"/>
      <c r="J249" s="44" t="s"/>
      <c r="K249" s="44" t="s"/>
      <c r="L249" s="150" t="s"/>
      <c r="M249" s="150" t="s"/>
      <c r="N249" s="150" t="s"/>
      <c r="O249" s="150" t="s"/>
      <c r="P249" s="150" t="s"/>
      <c r="Q249" s="150" t="s"/>
      <c r="R249" s="150" t="s"/>
      <c r="S249" s="150" t="s"/>
      <c r="T249" s="150" t="s"/>
      <c r="U249" s="150" t="s"/>
      <c r="V249" s="150" t="s"/>
      <c r="W249" s="150" t="s"/>
      <c r="X249" s="150" t="s"/>
      <c r="Y249" s="150" t="s"/>
      <c r="Z249" s="150" t="s"/>
      <c r="AA249" s="150" t="s"/>
    </row>
    <row r="250" spans="1:27">
      <c r="A250" s="52" t="s">
        <v>525</v>
      </c>
      <c r="B250" s="52" t="s"/>
      <c r="C250" s="63" t="s">
        <v>243</v>
      </c>
      <c r="D250" s="17" t="s"/>
      <c r="E250" s="17" t="s"/>
      <c r="F250" s="150" t="s"/>
      <c r="G250" s="150" t="s"/>
      <c r="H250" s="150" t="s"/>
      <c r="I250" s="150" t="s"/>
      <c r="J250" s="44" t="s"/>
      <c r="K250" s="44" t="s"/>
      <c r="L250" s="150" t="s"/>
      <c r="M250" s="150" t="s"/>
      <c r="N250" s="150" t="s"/>
      <c r="O250" s="150" t="s"/>
      <c r="P250" s="150" t="s"/>
      <c r="Q250" s="150" t="s"/>
      <c r="R250" s="150" t="s"/>
      <c r="S250" s="150" t="s"/>
      <c r="T250" s="150" t="s"/>
      <c r="U250" s="150" t="s"/>
      <c r="V250" s="150" t="s"/>
      <c r="W250" s="150" t="s"/>
      <c r="X250" s="150" t="s"/>
      <c r="Y250" s="150" t="s"/>
      <c r="Z250" s="150" t="s"/>
      <c r="AA250" s="150" t="s"/>
    </row>
    <row r="251" spans="1:27">
      <c r="A251" s="134" t="s">
        <v>526</v>
      </c>
      <c r="B251" s="135" t="s"/>
      <c r="C251" s="149" t="s"/>
      <c r="D251" s="17" t="s"/>
      <c r="E251" s="17" t="s"/>
      <c r="F251" s="86" t="s"/>
      <c r="G251" s="86" t="s"/>
      <c r="H251" s="86" t="s"/>
      <c r="I251" s="86" t="s"/>
      <c r="J251" s="44" t="s"/>
      <c r="K251" s="44" t="s"/>
      <c r="L251" s="86" t="s"/>
      <c r="M251" s="86" t="s"/>
      <c r="N251" s="86" t="s"/>
      <c r="O251" s="86" t="s"/>
      <c r="P251" s="86" t="s"/>
      <c r="Q251" s="86" t="s"/>
      <c r="R251" s="86" t="s"/>
      <c r="S251" s="86" t="s"/>
      <c r="T251" s="86" t="s"/>
      <c r="U251" s="86" t="s"/>
      <c r="V251" s="86" t="s"/>
      <c r="W251" s="86" t="s"/>
      <c r="X251" s="86" t="s"/>
      <c r="Y251" s="86" t="s"/>
      <c r="Z251" s="86" t="s"/>
      <c r="AA251" s="86" t="s"/>
    </row>
    <row r="252" spans="1:27">
      <c r="A252" s="52" t="s">
        <v>527</v>
      </c>
      <c r="B252" s="52" t="s"/>
      <c r="C252" s="41" t="s"/>
      <c r="D252" s="37" t="s">
        <v>528</v>
      </c>
      <c r="E252" s="37" t="s">
        <v>529</v>
      </c>
      <c r="F252" s="114" t="s">
        <v>530</v>
      </c>
      <c r="G252" s="87" t="s">
        <v>530</v>
      </c>
      <c r="H252" s="87" t="s">
        <v>530</v>
      </c>
      <c r="I252" s="57" t="s"/>
      <c r="J252" s="44" t="s"/>
      <c r="K252" s="44" t="s"/>
      <c r="L252" s="57" t="s"/>
      <c r="M252" s="57" t="s"/>
      <c r="N252" s="57" t="s"/>
      <c r="O252" s="57" t="s"/>
      <c r="P252" s="57" t="s"/>
      <c r="Q252" s="57" t="s"/>
      <c r="R252" s="57" t="s"/>
      <c r="S252" s="57" t="s"/>
      <c r="T252" s="57" t="s"/>
      <c r="U252" s="57" t="s"/>
      <c r="V252" s="57" t="s"/>
      <c r="W252" s="57" t="s"/>
      <c r="X252" s="57" t="s"/>
      <c r="Y252" s="57" t="s"/>
      <c r="Z252" s="57" t="s"/>
      <c r="AA252" s="57" t="s"/>
    </row>
    <row r="253" spans="1:27">
      <c r="A253" s="110" t="s">
        <v>524</v>
      </c>
      <c r="B253" s="52" t="s"/>
      <c r="C253" s="41" t="s"/>
      <c r="D253" s="37" t="s">
        <v>528</v>
      </c>
      <c r="E253" s="37" t="s">
        <v>529</v>
      </c>
      <c r="F253" s="58" t="s"/>
      <c r="G253" s="58">
        <v>47.9</v>
      </c>
      <c r="H253" s="58">
        <v>47.47</v>
      </c>
      <c r="I253" s="58" t="s"/>
      <c r="J253" s="44" t="s"/>
      <c r="K253" s="44" t="s"/>
      <c r="L253" s="58" t="s"/>
      <c r="M253" s="58" t="s"/>
      <c r="N253" s="58" t="s"/>
      <c r="O253" s="58" t="s"/>
      <c r="P253" s="58" t="s"/>
      <c r="Q253" s="58" t="s"/>
      <c r="R253" s="58" t="s"/>
      <c r="S253" s="58" t="s"/>
      <c r="T253" s="58" t="s"/>
      <c r="U253" s="58" t="s"/>
      <c r="V253" s="58" t="s"/>
      <c r="W253" s="58" t="s"/>
      <c r="X253" s="58" t="s"/>
      <c r="Y253" s="58" t="s"/>
      <c r="Z253" s="58" t="s"/>
      <c r="AA253" s="58" t="s"/>
    </row>
    <row r="254" spans="1:27" ht="14.15" customHeight="true">
      <c r="A254" s="52" t="s">
        <v>531</v>
      </c>
      <c r="B254" s="52" t="s"/>
      <c r="C254" s="63" t="s">
        <v>243</v>
      </c>
      <c r="D254" s="17" t="s"/>
      <c r="E254" s="17" t="s"/>
      <c r="F254" s="151" t="s"/>
      <c r="G254" s="151" t="s"/>
      <c r="H254" s="151" t="s"/>
      <c r="I254" s="151" t="s"/>
      <c r="J254" s="44" t="s"/>
      <c r="K254" s="44" t="s"/>
      <c r="L254" s="151" t="s"/>
      <c r="M254" s="151" t="s"/>
      <c r="N254" s="151" t="s"/>
      <c r="O254" s="151" t="s"/>
      <c r="P254" s="151" t="s"/>
      <c r="Q254" s="151" t="s"/>
      <c r="R254" s="151" t="s"/>
      <c r="S254" s="151" t="s"/>
      <c r="T254" s="151" t="s"/>
      <c r="U254" s="151" t="s"/>
      <c r="V254" s="151" t="s"/>
      <c r="W254" s="151" t="s"/>
      <c r="X254" s="151" t="s"/>
      <c r="Y254" s="151" t="s"/>
      <c r="Z254" s="151" t="s"/>
      <c r="AA254" s="151" t="s"/>
    </row>
    <row r="255" spans="1:27">
      <c r="A255" s="110" t="s">
        <v>525</v>
      </c>
      <c r="B255" s="52" t="s"/>
      <c r="C255" s="41" t="s"/>
      <c r="D255" s="37" t="s">
        <v>528</v>
      </c>
      <c r="E255" s="37" t="s">
        <v>532</v>
      </c>
      <c r="F255" s="86" t="s"/>
      <c r="G255" s="58">
        <v>3.55</v>
      </c>
      <c r="H255" s="58">
        <v>3.46</v>
      </c>
      <c r="I255" s="58" t="s"/>
      <c r="J255" s="44" t="s"/>
      <c r="K255" s="44" t="s"/>
      <c r="L255" s="58" t="s"/>
      <c r="M255" s="58" t="s"/>
      <c r="N255" s="58" t="s"/>
      <c r="O255" s="58" t="s"/>
      <c r="P255" s="58" t="s"/>
      <c r="Q255" s="58" t="s"/>
      <c r="R255" s="58" t="s"/>
      <c r="S255" s="58" t="s"/>
      <c r="T255" s="58" t="s"/>
      <c r="U255" s="58" t="s"/>
      <c r="V255" s="58" t="s"/>
      <c r="W255" s="58" t="s"/>
      <c r="X255" s="58" t="s"/>
      <c r="Y255" s="58" t="s"/>
      <c r="Z255" s="58" t="s"/>
      <c r="AA255" s="58" t="s"/>
    </row>
    <row r="256" spans="1:27">
      <c r="A256" s="134" t="s">
        <v>533</v>
      </c>
      <c r="B256" s="135" t="s"/>
      <c r="C256" s="149" t="s"/>
      <c r="D256" s="17" t="s"/>
      <c r="E256" s="17" t="s"/>
      <c r="G256" s="86" t="s"/>
      <c r="H256" s="86" t="s"/>
      <c r="I256" s="86" t="s"/>
      <c r="J256" s="44" t="s"/>
      <c r="K256" s="44" t="s"/>
      <c r="L256" s="86" t="s"/>
      <c r="M256" s="86" t="s"/>
      <c r="N256" s="86" t="s"/>
      <c r="O256" s="86" t="s"/>
      <c r="P256" s="86" t="s"/>
      <c r="Q256" s="86" t="s"/>
      <c r="R256" s="86" t="s"/>
      <c r="S256" s="86" t="s"/>
      <c r="T256" s="86" t="s"/>
      <c r="U256" s="86" t="s"/>
      <c r="V256" s="86" t="s"/>
      <c r="W256" s="86" t="s"/>
      <c r="X256" s="86" t="s"/>
      <c r="Y256" s="86" t="s"/>
      <c r="Z256" s="86" t="s"/>
      <c r="AA256" s="86" t="s"/>
    </row>
    <row r="257" spans="1:27">
      <c r="A257" s="110" t="s">
        <v>524</v>
      </c>
      <c r="B257" s="52" t="s"/>
      <c r="C257" s="41" t="s"/>
      <c r="D257" s="37" t="s">
        <v>528</v>
      </c>
      <c r="E257" s="37" t="s">
        <v>532</v>
      </c>
      <c r="F257" s="58" t="s"/>
      <c r="G257" s="58" t="s"/>
      <c r="H257" s="58" t="s"/>
      <c r="I257" s="58" t="s"/>
      <c r="J257" s="44" t="s"/>
      <c r="K257" s="44" t="s"/>
      <c r="L257" s="58" t="s"/>
      <c r="M257" s="58" t="s"/>
      <c r="N257" s="58" t="s"/>
      <c r="O257" s="58" t="s"/>
      <c r="P257" s="58" t="s"/>
      <c r="Q257" s="58" t="s"/>
      <c r="R257" s="58" t="s"/>
      <c r="S257" s="58" t="s"/>
      <c r="T257" s="58" t="s"/>
      <c r="U257" s="58" t="s"/>
      <c r="V257" s="58" t="s"/>
      <c r="W257" s="58" t="s"/>
      <c r="X257" s="58" t="s"/>
      <c r="Y257" s="58" t="s"/>
      <c r="Z257" s="58" t="s"/>
      <c r="AA257" s="58" t="s"/>
    </row>
    <row r="258" spans="1:27" ht="14.15" customHeight="true">
      <c r="A258" s="52" t="s">
        <v>531</v>
      </c>
      <c r="B258" s="52" t="s"/>
      <c r="C258" s="63" t="s">
        <v>243</v>
      </c>
      <c r="D258" s="17" t="s"/>
      <c r="E258" s="17" t="s"/>
      <c r="F258" s="151" t="s"/>
      <c r="G258" s="151" t="s"/>
      <c r="H258" s="151" t="s"/>
      <c r="I258" s="151" t="s"/>
      <c r="J258" s="44" t="s"/>
      <c r="K258" s="44" t="s"/>
      <c r="L258" s="151" t="s"/>
      <c r="M258" s="151" t="s"/>
      <c r="N258" s="151" t="s"/>
      <c r="O258" s="151" t="s"/>
      <c r="P258" s="151" t="s"/>
      <c r="Q258" s="151" t="s"/>
      <c r="R258" s="151" t="s"/>
      <c r="S258" s="151" t="s"/>
      <c r="T258" s="151" t="s"/>
      <c r="U258" s="151" t="s"/>
      <c r="V258" s="151" t="s"/>
      <c r="W258" s="151" t="s"/>
      <c r="X258" s="151" t="s"/>
      <c r="Y258" s="151" t="s"/>
      <c r="Z258" s="151" t="s"/>
      <c r="AA258" s="151" t="s"/>
    </row>
    <row r="259" spans="1:27">
      <c r="A259" s="110" t="s">
        <v>525</v>
      </c>
      <c r="B259" s="52" t="s"/>
      <c r="C259" s="41" t="s"/>
      <c r="D259" s="37" t="s">
        <v>528</v>
      </c>
      <c r="E259" s="37" t="s">
        <v>532</v>
      </c>
      <c r="F259" s="58" t="s"/>
      <c r="G259" s="58" t="s"/>
      <c r="H259" s="58" t="s"/>
      <c r="I259" s="58" t="s"/>
      <c r="J259" s="44" t="s"/>
      <c r="K259" s="44" t="s"/>
      <c r="L259" s="58" t="s"/>
      <c r="M259" s="58" t="s"/>
      <c r="N259" s="58" t="s"/>
      <c r="O259" s="58" t="s"/>
      <c r="P259" s="58" t="s"/>
      <c r="Q259" s="58" t="s"/>
      <c r="R259" s="58" t="s"/>
      <c r="S259" s="58" t="s"/>
      <c r="T259" s="58" t="s"/>
      <c r="U259" s="58" t="s"/>
      <c r="V259" s="58" t="s"/>
      <c r="W259" s="58" t="s"/>
      <c r="X259" s="58" t="s"/>
      <c r="Y259" s="58" t="s"/>
      <c r="Z259" s="58" t="s"/>
      <c r="AA259" s="58" t="s"/>
    </row>
    <row r="260" spans="1:27">
      <c r="A260" s="52" t="s">
        <v>534</v>
      </c>
      <c r="B260" s="52" t="s"/>
      <c r="C260" s="41" t="s"/>
      <c r="D260" s="37" t="s">
        <v>528</v>
      </c>
      <c r="E260" s="37" t="s">
        <v>529</v>
      </c>
      <c r="F260" s="87" t="s">
        <v>535</v>
      </c>
      <c r="G260" s="87" t="s">
        <v>535</v>
      </c>
      <c r="H260" s="87" t="s">
        <v>535</v>
      </c>
      <c r="I260" s="57" t="s"/>
      <c r="J260" s="44" t="s"/>
      <c r="K260" s="44" t="s"/>
      <c r="L260" s="57" t="s"/>
      <c r="M260" s="57" t="s"/>
      <c r="N260" s="57" t="s"/>
      <c r="O260" s="57" t="s"/>
      <c r="P260" s="57" t="s"/>
      <c r="Q260" s="57" t="s"/>
      <c r="R260" s="57" t="s"/>
      <c r="S260" s="57" t="s"/>
      <c r="T260" s="57" t="s"/>
      <c r="U260" s="57" t="s"/>
      <c r="V260" s="57" t="s"/>
      <c r="W260" s="57" t="s"/>
      <c r="X260" s="57" t="s"/>
      <c r="Y260" s="57" t="s"/>
      <c r="Z260" s="57" t="s"/>
      <c r="AA260" s="57" t="s"/>
    </row>
    <row r="261" spans="1:27">
      <c r="A261" s="69" t="s">
        <v>536</v>
      </c>
      <c r="B261" s="70" t="s"/>
      <c r="C261" s="36" t="s"/>
      <c r="D261" s="17" t="s"/>
      <c r="E261" s="17" t="s"/>
      <c r="F261" s="38" t="s"/>
      <c r="G261" s="38" t="s"/>
      <c r="H261" s="38" t="s"/>
      <c r="I261" s="38" t="s"/>
      <c r="J261" s="44" t="s"/>
      <c r="K261" s="44" t="s"/>
      <c r="L261" s="38" t="s"/>
      <c r="M261" s="38" t="s"/>
      <c r="N261" s="38" t="s"/>
      <c r="O261" s="38" t="s"/>
      <c r="P261" s="38" t="s"/>
      <c r="Q261" s="38" t="s"/>
      <c r="R261" s="38" t="s"/>
      <c r="S261" s="38" t="s"/>
      <c r="T261" s="38" t="s"/>
      <c r="U261" s="38" t="s"/>
      <c r="V261" s="38" t="s"/>
      <c r="W261" s="38" t="s"/>
      <c r="X261" s="38" t="s"/>
      <c r="Y261" s="38" t="s"/>
      <c r="Z261" s="38" t="s"/>
      <c r="AA261" s="38" t="s"/>
    </row>
    <row r="262" spans="1:27">
      <c r="A262" s="134" t="s">
        <v>537</v>
      </c>
      <c r="B262" s="135" t="s"/>
      <c r="C262" s="149" t="s"/>
      <c r="D262" s="17" t="s"/>
      <c r="E262" s="17" t="s"/>
      <c r="F262" s="86" t="s"/>
      <c r="G262" s="86" t="s"/>
      <c r="H262" s="86" t="s"/>
      <c r="I262" s="86" t="s"/>
      <c r="J262" s="44" t="s"/>
      <c r="K262" s="44" t="s"/>
      <c r="L262" s="86" t="s"/>
      <c r="M262" s="86" t="s"/>
      <c r="N262" s="86" t="s"/>
      <c r="O262" s="86" t="s"/>
      <c r="P262" s="86" t="s"/>
      <c r="Q262" s="86" t="s"/>
      <c r="R262" s="86" t="s"/>
      <c r="S262" s="86" t="s"/>
      <c r="T262" s="86" t="s"/>
      <c r="U262" s="86" t="s"/>
      <c r="V262" s="86" t="s"/>
      <c r="W262" s="86" t="s"/>
      <c r="X262" s="86" t="s"/>
      <c r="Y262" s="86" t="s"/>
      <c r="Z262" s="86" t="s"/>
      <c r="AA262" s="86" t="s"/>
    </row>
    <row r="263" spans="1:27">
      <c r="A263" s="52" t="s">
        <v>538</v>
      </c>
      <c r="B263" s="52" t="s"/>
      <c r="C263" s="41" t="s"/>
      <c r="D263" s="17" t="s"/>
      <c r="E263" s="17" t="s"/>
      <c r="F263" s="83" t="s"/>
      <c r="G263" s="83" t="s"/>
      <c r="H263" s="83" t="s"/>
      <c r="I263" s="83" t="s"/>
      <c r="J263" s="44" t="s"/>
      <c r="K263" s="44" t="s"/>
      <c r="L263" s="83" t="s"/>
      <c r="M263" s="83" t="s"/>
      <c r="N263" s="83" t="s"/>
      <c r="O263" s="83" t="s"/>
      <c r="P263" s="83" t="s"/>
      <c r="Q263" s="83" t="s"/>
      <c r="R263" s="83" t="s"/>
      <c r="S263" s="83" t="s"/>
      <c r="T263" s="83" t="s"/>
      <c r="U263" s="83" t="s"/>
      <c r="V263" s="83" t="s"/>
      <c r="W263" s="83" t="s"/>
      <c r="X263" s="83" t="s"/>
      <c r="Y263" s="83" t="s"/>
      <c r="Z263" s="83" t="s"/>
      <c r="AA263" s="83" t="s"/>
    </row>
    <row r="264" spans="1:27">
      <c r="A264" s="52" t="s">
        <v>539</v>
      </c>
      <c r="B264" s="52" t="s"/>
      <c r="C264" s="41" t="s"/>
      <c r="D264" s="17" t="s"/>
      <c r="E264" s="17" t="s"/>
      <c r="F264" s="83" t="s"/>
      <c r="G264" s="83" t="s"/>
      <c r="H264" s="83" t="s"/>
      <c r="I264" s="83" t="s"/>
      <c r="J264" s="44" t="s"/>
      <c r="K264" s="44" t="s"/>
      <c r="L264" s="83" t="s"/>
      <c r="M264" s="83" t="s"/>
      <c r="N264" s="83" t="s"/>
      <c r="O264" s="83" t="s"/>
      <c r="P264" s="83" t="s"/>
      <c r="Q264" s="83" t="s"/>
      <c r="R264" s="83" t="s"/>
      <c r="S264" s="83" t="s"/>
      <c r="T264" s="83" t="s"/>
      <c r="U264" s="83" t="s"/>
      <c r="V264" s="83" t="s"/>
      <c r="W264" s="83" t="s"/>
      <c r="X264" s="83" t="s"/>
      <c r="Y264" s="83" t="s"/>
      <c r="Z264" s="83" t="s"/>
      <c r="AA264" s="83" t="s"/>
    </row>
    <row r="265" spans="1:27">
      <c r="A265" s="52" t="s">
        <v>540</v>
      </c>
      <c r="B265" s="52" t="s"/>
      <c r="C265" s="41" t="s"/>
      <c r="D265" s="17" t="s"/>
      <c r="E265" s="17" t="s"/>
      <c r="F265" s="53" t="s"/>
      <c r="G265" s="53" t="s"/>
      <c r="H265" s="53" t="s"/>
      <c r="I265" s="53" t="s"/>
      <c r="J265" s="44" t="s"/>
      <c r="K265" s="44" t="s"/>
      <c r="L265" s="53" t="s"/>
      <c r="M265" s="53" t="s"/>
      <c r="N265" s="53" t="s"/>
      <c r="O265" s="53" t="s"/>
      <c r="P265" s="53" t="s"/>
      <c r="Q265" s="53" t="s"/>
      <c r="R265" s="53" t="s"/>
      <c r="S265" s="53" t="s"/>
      <c r="T265" s="53" t="s"/>
      <c r="U265" s="53" t="s"/>
      <c r="V265" s="53" t="s"/>
      <c r="W265" s="53" t="s"/>
      <c r="X265" s="53" t="s"/>
      <c r="Y265" s="53" t="s"/>
      <c r="Z265" s="53" t="s"/>
      <c r="AA265" s="53" t="s"/>
    </row>
    <row r="266" spans="1:27">
      <c r="A266" s="52" t="s">
        <v>541</v>
      </c>
      <c r="B266" s="52" t="s"/>
      <c r="C266" s="41" t="s"/>
      <c r="D266" s="17" t="s"/>
      <c r="E266" s="17" t="s"/>
      <c r="F266" s="58" t="s"/>
      <c r="G266" s="58" t="s"/>
      <c r="H266" s="58" t="s"/>
      <c r="I266" s="58" t="s"/>
      <c r="J266" s="44" t="s"/>
      <c r="K266" s="44" t="s"/>
      <c r="L266" s="58" t="s"/>
      <c r="M266" s="58" t="s"/>
      <c r="N266" s="58" t="s"/>
      <c r="O266" s="58" t="s"/>
      <c r="P266" s="58" t="s"/>
      <c r="Q266" s="58" t="s"/>
      <c r="R266" s="58" t="s"/>
      <c r="S266" s="58" t="s"/>
      <c r="T266" s="58" t="s"/>
      <c r="U266" s="58" t="s"/>
      <c r="V266" s="58" t="s"/>
      <c r="W266" s="58" t="s"/>
      <c r="X266" s="58" t="s"/>
      <c r="Y266" s="58" t="s"/>
      <c r="Z266" s="58" t="s"/>
      <c r="AA266" s="58" t="s"/>
    </row>
    <row r="267" spans="1:27">
      <c r="A267" s="52" t="s">
        <v>542</v>
      </c>
      <c r="B267" s="52" t="s"/>
      <c r="C267" s="41" t="s"/>
      <c r="D267" s="17" t="s"/>
      <c r="E267" s="17" t="s"/>
      <c r="F267" s="53" t="s"/>
      <c r="G267" s="53" t="s"/>
      <c r="H267" s="53" t="s"/>
      <c r="I267" s="53" t="s"/>
      <c r="J267" s="44" t="s"/>
      <c r="K267" s="44" t="s"/>
      <c r="L267" s="53" t="s"/>
      <c r="M267" s="53" t="s"/>
      <c r="N267" s="53" t="s"/>
      <c r="O267" s="53" t="s"/>
      <c r="P267" s="53" t="s"/>
      <c r="Q267" s="53" t="s"/>
      <c r="R267" s="53" t="s"/>
      <c r="S267" s="53" t="s"/>
      <c r="T267" s="53" t="s"/>
      <c r="U267" s="53" t="s"/>
      <c r="V267" s="53" t="s"/>
      <c r="W267" s="53" t="s"/>
      <c r="X267" s="53" t="s"/>
      <c r="Y267" s="53" t="s"/>
      <c r="Z267" s="53" t="s"/>
      <c r="AA267" s="53" t="s"/>
    </row>
    <row r="268" spans="1:27">
      <c r="A268" s="152" t="s">
        <v>543</v>
      </c>
      <c r="B268" s="152" t="s"/>
      <c r="C268" s="41" t="s"/>
      <c r="D268" s="17" t="s"/>
      <c r="E268" s="17" t="s"/>
      <c r="F268" s="58" t="s"/>
      <c r="G268" s="58" t="s"/>
      <c r="H268" s="58" t="s"/>
      <c r="I268" s="58" t="s"/>
      <c r="J268" s="44" t="s"/>
      <c r="K268" s="44" t="s"/>
      <c r="L268" s="58" t="s"/>
      <c r="M268" s="58" t="s"/>
      <c r="N268" s="58" t="s"/>
      <c r="O268" s="58" t="s"/>
      <c r="P268" s="58" t="s"/>
      <c r="Q268" s="58" t="s"/>
      <c r="R268" s="58" t="s"/>
      <c r="S268" s="58" t="s"/>
      <c r="T268" s="58" t="s"/>
      <c r="U268" s="58" t="s"/>
      <c r="V268" s="58" t="s"/>
      <c r="W268" s="58" t="s"/>
      <c r="X268" s="58" t="s"/>
      <c r="Y268" s="58" t="s"/>
      <c r="Z268" s="58" t="s"/>
      <c r="AA268" s="58" t="s"/>
    </row>
    <row r="269" spans="1:27">
      <c r="A269" s="134" t="s">
        <v>544</v>
      </c>
      <c r="B269" s="135" t="s"/>
      <c r="C269" s="149" t="s"/>
      <c r="D269" s="17" t="s"/>
      <c r="E269" s="17" t="s"/>
      <c r="F269" s="86" t="s"/>
      <c r="G269" s="86" t="s"/>
      <c r="H269" s="86" t="s"/>
      <c r="I269" s="86" t="s"/>
      <c r="J269" s="44" t="s"/>
      <c r="K269" s="44" t="s"/>
      <c r="L269" s="86" t="s"/>
      <c r="M269" s="86" t="s"/>
      <c r="N269" s="86" t="s"/>
      <c r="O269" s="86" t="s"/>
      <c r="P269" s="86" t="s"/>
      <c r="Q269" s="86" t="s"/>
      <c r="R269" s="86" t="s"/>
      <c r="S269" s="86" t="s"/>
      <c r="T269" s="86" t="s"/>
      <c r="U269" s="86" t="s"/>
      <c r="V269" s="86" t="s"/>
      <c r="W269" s="86" t="s"/>
      <c r="X269" s="86" t="s"/>
      <c r="Y269" s="86" t="s"/>
      <c r="Z269" s="86" t="s"/>
      <c r="AA269" s="86" t="s"/>
    </row>
    <row r="270" spans="1:27">
      <c r="A270" s="52" t="s">
        <v>538</v>
      </c>
      <c r="B270" s="52" t="s"/>
      <c r="C270" s="41" t="s"/>
      <c r="D270" s="17" t="s"/>
      <c r="E270" s="17" t="s"/>
      <c r="F270" s="83" t="s"/>
      <c r="G270" s="83" t="s"/>
      <c r="H270" s="83" t="s"/>
      <c r="I270" s="83" t="s"/>
      <c r="J270" s="44" t="s"/>
      <c r="K270" s="44" t="s"/>
      <c r="L270" s="83" t="s"/>
      <c r="M270" s="83" t="s"/>
      <c r="N270" s="83" t="s"/>
      <c r="O270" s="83" t="s"/>
      <c r="P270" s="83" t="s"/>
      <c r="Q270" s="83" t="s"/>
      <c r="R270" s="83" t="s"/>
      <c r="S270" s="83" t="s"/>
      <c r="T270" s="83" t="s"/>
      <c r="U270" s="83" t="s"/>
      <c r="V270" s="83" t="s"/>
      <c r="W270" s="83" t="s"/>
      <c r="X270" s="83" t="s"/>
      <c r="Y270" s="83" t="s"/>
      <c r="Z270" s="83" t="s"/>
      <c r="AA270" s="83" t="s"/>
    </row>
    <row r="271" spans="1:27">
      <c r="A271" s="52" t="s">
        <v>539</v>
      </c>
      <c r="B271" s="52" t="s"/>
      <c r="C271" s="41" t="s"/>
      <c r="D271" s="17" t="s"/>
      <c r="E271" s="17" t="s"/>
      <c r="F271" s="83" t="s"/>
      <c r="G271" s="83" t="s"/>
      <c r="H271" s="83" t="s"/>
      <c r="I271" s="83" t="s"/>
      <c r="J271" s="44" t="s"/>
      <c r="K271" s="44" t="s"/>
      <c r="L271" s="83" t="s"/>
      <c r="M271" s="83" t="s"/>
      <c r="N271" s="83" t="s"/>
      <c r="O271" s="83" t="s"/>
      <c r="P271" s="83" t="s"/>
      <c r="Q271" s="83" t="s"/>
      <c r="R271" s="83" t="s"/>
      <c r="S271" s="83" t="s"/>
      <c r="T271" s="83" t="s"/>
      <c r="U271" s="83" t="s"/>
      <c r="V271" s="83" t="s"/>
      <c r="W271" s="83" t="s"/>
      <c r="X271" s="83" t="s"/>
      <c r="Y271" s="83" t="s"/>
      <c r="Z271" s="83" t="s"/>
      <c r="AA271" s="83" t="s"/>
    </row>
    <row r="272" spans="1:27">
      <c r="A272" s="52" t="s">
        <v>540</v>
      </c>
      <c r="B272" s="52" t="s"/>
      <c r="C272" s="41" t="s"/>
      <c r="D272" s="17" t="s"/>
      <c r="E272" s="17" t="s"/>
      <c r="F272" s="53" t="s"/>
      <c r="G272" s="53" t="s"/>
      <c r="H272" s="53" t="s"/>
      <c r="I272" s="53" t="s"/>
      <c r="J272" s="44" t="s"/>
      <c r="K272" s="44" t="s"/>
      <c r="L272" s="53" t="s"/>
      <c r="M272" s="53" t="s"/>
      <c r="N272" s="53" t="s"/>
      <c r="O272" s="53" t="s"/>
      <c r="P272" s="53" t="s"/>
      <c r="Q272" s="53" t="s"/>
      <c r="R272" s="53" t="s"/>
      <c r="S272" s="53" t="s"/>
      <c r="T272" s="53" t="s"/>
      <c r="U272" s="53" t="s"/>
      <c r="V272" s="53" t="s"/>
      <c r="W272" s="53" t="s"/>
      <c r="X272" s="53" t="s"/>
      <c r="Y272" s="53" t="s"/>
      <c r="Z272" s="53" t="s"/>
      <c r="AA272" s="53" t="s"/>
    </row>
    <row r="273" spans="1:27">
      <c r="A273" s="52" t="s">
        <v>541</v>
      </c>
      <c r="B273" s="52" t="s"/>
      <c r="C273" s="41" t="s"/>
      <c r="D273" s="17" t="s"/>
      <c r="E273" s="17" t="s"/>
      <c r="F273" s="58" t="s"/>
      <c r="G273" s="58" t="s"/>
      <c r="H273" s="58" t="s"/>
      <c r="I273" s="58" t="s"/>
      <c r="J273" s="44" t="s"/>
      <c r="K273" s="44" t="s"/>
      <c r="L273" s="58" t="s"/>
      <c r="M273" s="58" t="s"/>
      <c r="N273" s="58" t="s"/>
      <c r="O273" s="58" t="s"/>
      <c r="P273" s="58" t="s"/>
      <c r="Q273" s="58" t="s"/>
      <c r="R273" s="58" t="s"/>
      <c r="S273" s="58" t="s"/>
      <c r="T273" s="58" t="s"/>
      <c r="U273" s="58" t="s"/>
      <c r="V273" s="58" t="s"/>
      <c r="W273" s="58" t="s"/>
      <c r="X273" s="58" t="s"/>
      <c r="Y273" s="58" t="s"/>
      <c r="Z273" s="58" t="s"/>
      <c r="AA273" s="58" t="s"/>
    </row>
    <row r="274" spans="1:27">
      <c r="A274" s="52" t="s">
        <v>542</v>
      </c>
      <c r="B274" s="52" t="s"/>
      <c r="C274" s="41" t="s"/>
      <c r="D274" s="17" t="s"/>
      <c r="E274" s="17" t="s"/>
      <c r="F274" s="53" t="s"/>
      <c r="G274" s="53" t="s"/>
      <c r="H274" s="53" t="s"/>
      <c r="I274" s="53" t="s"/>
      <c r="J274" s="44" t="s"/>
      <c r="K274" s="44" t="s"/>
      <c r="L274" s="53" t="s"/>
      <c r="M274" s="53" t="s"/>
      <c r="N274" s="53" t="s"/>
      <c r="O274" s="53" t="s"/>
      <c r="P274" s="53" t="s"/>
      <c r="Q274" s="53" t="s"/>
      <c r="R274" s="53" t="s"/>
      <c r="S274" s="53" t="s"/>
      <c r="T274" s="53" t="s"/>
      <c r="U274" s="53" t="s"/>
      <c r="V274" s="53" t="s"/>
      <c r="W274" s="53" t="s"/>
      <c r="X274" s="53" t="s"/>
      <c r="Y274" s="53" t="s"/>
      <c r="Z274" s="53" t="s"/>
      <c r="AA274" s="53" t="s"/>
    </row>
    <row r="275" spans="1:27">
      <c r="A275" s="152" t="s">
        <v>543</v>
      </c>
      <c r="B275" s="152" t="s"/>
      <c r="C275" s="41" t="s"/>
      <c r="D275" s="17" t="s"/>
      <c r="E275" s="17" t="s"/>
      <c r="F275" s="58" t="s"/>
      <c r="G275" s="58" t="s"/>
      <c r="H275" s="58" t="s"/>
      <c r="I275" s="58" t="s"/>
      <c r="J275" s="44" t="s"/>
      <c r="K275" s="44" t="s"/>
      <c r="L275" s="58" t="s"/>
      <c r="M275" s="58" t="s"/>
      <c r="N275" s="58" t="s"/>
      <c r="O275" s="58" t="s"/>
      <c r="P275" s="58" t="s"/>
      <c r="Q275" s="58" t="s"/>
      <c r="R275" s="58" t="s"/>
      <c r="S275" s="58" t="s"/>
      <c r="T275" s="58" t="s"/>
      <c r="U275" s="58" t="s"/>
      <c r="V275" s="58" t="s"/>
      <c r="W275" s="58" t="s"/>
      <c r="X275" s="58" t="s"/>
      <c r="Y275" s="58" t="s"/>
      <c r="Z275" s="58" t="s"/>
      <c r="AA275" s="58" t="s"/>
    </row>
    <row r="276" spans="1:27">
      <c r="A276" s="134" t="s">
        <v>545</v>
      </c>
      <c r="B276" s="135" t="s"/>
      <c r="C276" s="149" t="s"/>
      <c r="D276" s="17" t="s"/>
      <c r="E276" s="17" t="s"/>
      <c r="F276" s="86" t="s"/>
      <c r="G276" s="86" t="s"/>
      <c r="H276" s="86" t="s"/>
      <c r="I276" s="86" t="s"/>
      <c r="J276" s="44" t="s"/>
      <c r="K276" s="44" t="s"/>
      <c r="L276" s="86" t="s"/>
      <c r="M276" s="86" t="s"/>
      <c r="N276" s="86" t="s"/>
      <c r="O276" s="86" t="s"/>
      <c r="P276" s="86" t="s"/>
      <c r="Q276" s="86" t="s"/>
      <c r="R276" s="86" t="s"/>
      <c r="S276" s="86" t="s"/>
      <c r="T276" s="86" t="s"/>
      <c r="U276" s="86" t="s"/>
      <c r="V276" s="86" t="s"/>
      <c r="W276" s="86" t="s"/>
      <c r="X276" s="86" t="s"/>
      <c r="Y276" s="86" t="s"/>
      <c r="Z276" s="86" t="s"/>
      <c r="AA276" s="86" t="s"/>
    </row>
    <row r="277" spans="1:27">
      <c r="A277" s="52" t="s">
        <v>538</v>
      </c>
      <c r="B277" s="52" t="s"/>
      <c r="C277" s="41" t="s"/>
      <c r="D277" s="17" t="s"/>
      <c r="E277" s="17" t="s"/>
      <c r="F277" s="83" t="s"/>
      <c r="G277" s="83" t="s"/>
      <c r="H277" s="83" t="s"/>
      <c r="I277" s="83" t="s"/>
      <c r="J277" s="44" t="s"/>
      <c r="K277" s="44" t="s"/>
      <c r="L277" s="83" t="s"/>
      <c r="M277" s="83" t="s"/>
      <c r="N277" s="83" t="s"/>
      <c r="O277" s="83" t="s"/>
      <c r="P277" s="83" t="s"/>
      <c r="Q277" s="83" t="s"/>
      <c r="R277" s="83" t="s"/>
      <c r="S277" s="83" t="s"/>
      <c r="T277" s="83" t="s"/>
      <c r="U277" s="83" t="s"/>
      <c r="V277" s="83" t="s"/>
      <c r="W277" s="83" t="s"/>
      <c r="X277" s="83" t="s"/>
      <c r="Y277" s="83" t="s"/>
      <c r="Z277" s="83" t="s"/>
      <c r="AA277" s="83" t="s"/>
    </row>
    <row r="278" spans="1:27">
      <c r="A278" s="52" t="s">
        <v>539</v>
      </c>
      <c r="B278" s="52" t="s"/>
      <c r="C278" s="41" t="s"/>
      <c r="D278" s="17" t="s"/>
      <c r="E278" s="17" t="s"/>
      <c r="F278" s="83" t="s"/>
      <c r="G278" s="83" t="s"/>
      <c r="H278" s="83" t="s"/>
      <c r="I278" s="83" t="s"/>
      <c r="J278" s="44" t="s"/>
      <c r="K278" s="44" t="s"/>
      <c r="L278" s="83" t="s"/>
      <c r="M278" s="83" t="s"/>
      <c r="N278" s="83" t="s"/>
      <c r="O278" s="83" t="s"/>
      <c r="P278" s="83" t="s"/>
      <c r="Q278" s="83" t="s"/>
      <c r="R278" s="83" t="s"/>
      <c r="S278" s="83" t="s"/>
      <c r="T278" s="83" t="s"/>
      <c r="U278" s="83" t="s"/>
      <c r="V278" s="83" t="s"/>
      <c r="W278" s="83" t="s"/>
      <c r="X278" s="83" t="s"/>
      <c r="Y278" s="83" t="s"/>
      <c r="Z278" s="83" t="s"/>
      <c r="AA278" s="83" t="s"/>
    </row>
    <row r="279" spans="1:27">
      <c r="A279" s="52" t="s">
        <v>540</v>
      </c>
      <c r="B279" s="52" t="s"/>
      <c r="C279" s="41" t="s"/>
      <c r="D279" s="17" t="s"/>
      <c r="E279" s="17" t="s"/>
      <c r="F279" s="53" t="s"/>
      <c r="G279" s="53" t="s"/>
      <c r="H279" s="53" t="s"/>
      <c r="I279" s="53" t="s"/>
      <c r="J279" s="44" t="s"/>
      <c r="K279" s="44" t="s"/>
      <c r="L279" s="53" t="s"/>
      <c r="M279" s="53" t="s"/>
      <c r="N279" s="53" t="s"/>
      <c r="O279" s="53" t="s"/>
      <c r="P279" s="53" t="s"/>
      <c r="Q279" s="53" t="s"/>
      <c r="R279" s="53" t="s"/>
      <c r="S279" s="53" t="s"/>
      <c r="T279" s="53" t="s"/>
      <c r="U279" s="53" t="s"/>
      <c r="V279" s="53" t="s"/>
      <c r="W279" s="53" t="s"/>
      <c r="X279" s="53" t="s"/>
      <c r="Y279" s="53" t="s"/>
      <c r="Z279" s="53" t="s"/>
      <c r="AA279" s="53" t="s"/>
    </row>
    <row r="280" spans="1:27">
      <c r="A280" s="52" t="s">
        <v>541</v>
      </c>
      <c r="B280" s="52" t="s"/>
      <c r="C280" s="41" t="s"/>
      <c r="D280" s="17" t="s"/>
      <c r="E280" s="17" t="s"/>
      <c r="F280" s="58" t="s"/>
      <c r="G280" s="58" t="s"/>
      <c r="H280" s="58" t="s"/>
      <c r="I280" s="58" t="s"/>
      <c r="J280" s="44" t="s"/>
      <c r="K280" s="44" t="s"/>
      <c r="L280" s="58" t="s"/>
      <c r="M280" s="58" t="s"/>
      <c r="N280" s="58" t="s"/>
      <c r="O280" s="58" t="s"/>
      <c r="P280" s="58" t="s"/>
      <c r="Q280" s="58" t="s"/>
      <c r="R280" s="58" t="s"/>
      <c r="S280" s="58" t="s"/>
      <c r="T280" s="58" t="s"/>
      <c r="U280" s="58" t="s"/>
      <c r="V280" s="58" t="s"/>
      <c r="W280" s="58" t="s"/>
      <c r="X280" s="58" t="s"/>
      <c r="Y280" s="58" t="s"/>
      <c r="Z280" s="58" t="s"/>
      <c r="AA280" s="58" t="s"/>
    </row>
    <row r="281" spans="1:27">
      <c r="A281" s="52" t="s">
        <v>542</v>
      </c>
      <c r="B281" s="52" t="s"/>
      <c r="C281" s="41" t="s"/>
      <c r="D281" s="17" t="s"/>
      <c r="E281" s="17" t="s"/>
      <c r="F281" s="53" t="s"/>
      <c r="G281" s="53" t="s"/>
      <c r="H281" s="53" t="s"/>
      <c r="I281" s="53" t="s"/>
      <c r="J281" s="44" t="s"/>
      <c r="K281" s="44" t="s"/>
      <c r="L281" s="53" t="s"/>
      <c r="M281" s="53" t="s"/>
      <c r="N281" s="53" t="s"/>
      <c r="O281" s="53" t="s"/>
      <c r="P281" s="53" t="s"/>
      <c r="Q281" s="53" t="s"/>
      <c r="R281" s="53" t="s"/>
      <c r="S281" s="53" t="s"/>
      <c r="T281" s="53" t="s"/>
      <c r="U281" s="53" t="s"/>
      <c r="V281" s="53" t="s"/>
      <c r="W281" s="53" t="s"/>
      <c r="X281" s="53" t="s"/>
      <c r="Y281" s="53" t="s"/>
      <c r="Z281" s="53" t="s"/>
      <c r="AA281" s="53" t="s"/>
    </row>
    <row r="282" spans="1:27">
      <c r="A282" s="153" t="s">
        <v>543</v>
      </c>
      <c r="B282" s="153" t="s"/>
      <c r="C282" s="154" t="s"/>
      <c r="D282" s="17" t="s"/>
      <c r="E282" s="17" t="s"/>
      <c r="F282" s="58" t="s"/>
      <c r="G282" s="58" t="s"/>
      <c r="H282" s="58" t="s"/>
      <c r="I282" s="58" t="s"/>
      <c r="J282" s="44" t="s"/>
      <c r="K282" s="44" t="s"/>
      <c r="L282" s="58" t="s"/>
      <c r="M282" s="58" t="s"/>
      <c r="N282" s="58" t="s"/>
      <c r="O282" s="58" t="s"/>
      <c r="P282" s="58" t="s"/>
      <c r="Q282" s="58" t="s"/>
      <c r="R282" s="58" t="s"/>
      <c r="S282" s="58" t="s"/>
      <c r="T282" s="58" t="s"/>
      <c r="U282" s="58" t="s"/>
      <c r="V282" s="58" t="s"/>
      <c r="W282" s="58" t="s"/>
      <c r="X282" s="58" t="s"/>
      <c r="Y282" s="58" t="s"/>
      <c r="Z282" s="58" t="s"/>
      <c r="AA282" s="58" t="s"/>
    </row>
  </sheetData>
  <dataValidations>
    <dataValidation type="list" operator="between" allowBlank="true" showInputMessage="true" showErrorMessage="true" sqref="F36">
      <formula1>"Android,BlackBerry,Firefox,iOS,iPadOS,KaiOS,Symbian,Tizen,Windows,Windows Phone,Proprietary,Other"</formula1>
    </dataValidation>
    <dataValidation type="list" operator="between" allowBlank="true" showInputMessage="true" showErrorMessage="true" sqref="F61">
      <formula1>='Listes deroulantes'!$I$2:$I$3</formula1>
    </dataValidation>
    <dataValidation type="list" operator="between" allowBlank="true" showInputMessage="true" showErrorMessage="true" sqref="F120">
      <formula1>"AMOLED,CSTN,FFS,FS,IGZO,IPS HD,LCD - IPS,LCD - LPS,MSTN,MVA,Other,PLS,PMOLED,PVA,SLCD 2,SLCD 3,STN,Super AMOLED,TFD,TFT,TN,UFB,VA"</formula1>
    </dataValidation>
    <dataValidation type="list" operator="between" allowBlank="true" showInputMessage="true" showErrorMessage="true" sqref="F128">
      <formula1>"Yes,No"</formula1>
    </dataValidation>
    <dataValidation type="list" operator="between" allowBlank="true" showInputMessage="true" showErrorMessage="true" sqref="F129">
      <formula1>"No,2,3,4,5,More"</formula1>
    </dataValidation>
    <dataValidation type="list" operator="between" allowBlank="true" showInputMessage="true" showErrorMessage="true" sqref="F130">
      <formula1>"No,2FF,3FF (MicroSIM),4FF (nano SIM),e-SIM,e-SIM or 4FF (nano SIM)"</formula1>
    </dataValidation>
    <dataValidation type="textLength" operator="between" allowBlank="true" showInputMessage="true" showErrorMessage="true" errorTitle="Wi-FI chipset name" error="Alphanumeric size 50 characters exceeded" sqref="F133">
      <formula1>0</formula1>
      <formula2>50</formula2>
    </dataValidation>
    <dataValidation type="list" operator="between" allowBlank="true" showInputMessage="true" showErrorMessage="true" sqref="F134:F148">
      <formula1>"Yes,No"</formula1>
    </dataValidation>
    <dataValidation type="textLength" operator="between" allowBlank="true" showInputMessage="true" showErrorMessage="true" errorTitle="Wi-FI chipset name" error="Alphanumeric size 50 characters exceeded" sqref="F149">
      <formula1>0</formula1>
      <formula2>50</formula2>
    </dataValidation>
    <dataValidation type="list" operator="between" allowBlank="true" showInputMessage="true" showErrorMessage="true" sqref="F150">
      <formula1>='Listes deroulantes'!$V$2:$V$16</formula1>
    </dataValidation>
    <dataValidation type="textLength" operator="between" allowBlank="true" showInputMessage="true" showErrorMessage="true" errorTitle="Bluetooth Profile" error="Alphanumeric size 100 characters exceeded" sqref="F151">
      <formula1>0</formula1>
      <formula2>100</formula2>
    </dataValidation>
    <dataValidation type="list" operator="between" allowBlank="true" showInputMessage="true" showErrorMessage="true" sqref="F152:F157">
      <formula1>"Yes,No"</formula1>
    </dataValidation>
    <dataValidation type="list" operator="between" allowBlank="true" showInputMessage="true" showErrorMessage="true" sqref="F158">
      <formula1>"No,A-GPS,GPS Standalone,GNSS"</formula1>
    </dataValidation>
    <dataValidation type="list" operator="between" allowBlank="true" showInputMessage="true" showErrorMessage="true" sqref="F159">
      <formula1>='Listes deroulantes'!$Q$2:$Q$10</formula1>
    </dataValidation>
    <dataValidation type="list" operator="between" allowBlank="true" showInputMessage="true" showErrorMessage="true" sqref="F160">
      <formula1>='Listes deroulantes'!$W$2:$W$9</formula1>
    </dataValidation>
    <dataValidation type="list" operator="between" allowBlank="true" showInputMessage="true" showErrorMessage="true" sqref="F161:F166">
      <formula1>"Yes,No"</formula1>
    </dataValidation>
    <dataValidation type="list" operator="between" allowBlank="true" showInputMessage="true" showErrorMessage="true" sqref="F168:F172">
      <formula1>"Yes,No"</formula1>
    </dataValidation>
    <dataValidation type="whole" operator="between" allowBlank="true" showInputMessage="true" showErrorMessage="true" errorTitle="Battery capacity (mAh)" error="Integer size 5 expected or lenght characters exceeded" sqref="F176">
      <formula1>0</formula1>
      <formula2>99999</formula2>
    </dataValidation>
    <dataValidation type="list" operator="between" allowBlank="true" showInputMessage="true" showErrorMessage="true" sqref="F177">
      <formula1>"Li-Ion,Li-Poly,Li-Ion-Poly,Li-Technology,NiMH"</formula1>
    </dataValidation>
    <dataValidation type="list" operator="between" allowBlank="true" showInputMessage="true" showErrorMessage="true" sqref="F178">
      <formula1>"Yes,No"</formula1>
    </dataValidation>
    <dataValidation type="list" operator="between" allowBlank="true" showInputMessage="true" showErrorMessage="true" sqref="F179">
      <formula1>"No,Qi,Other"</formula1>
    </dataValidation>
    <dataValidation type="list" operator="between" allowBlank="true" showInputMessage="true" showErrorMessage="true" sqref="F180">
      <formula1>"No,Pump Express,Quick Charge 2.0,Other"</formula1>
    </dataValidation>
    <dataValidation type="list" operator="between" allowBlank="true" showInputMessage="true" showErrorMessage="true" sqref="F182">
      <formula1>"2TB,1TB,512GB,256GB,128GB,64GB,32GB,16GB,8GB,4GB,2GB,1GB,512MB,256MB,128MB"</formula1>
    </dataValidation>
    <dataValidation type="list" operator="between" allowBlank="true" showInputMessage="true" showErrorMessage="true" sqref="F183:F186">
      <formula1>"Yes,No"</formula1>
    </dataValidation>
    <dataValidation type="list" operator="between" allowBlank="true" showErrorMessage="true" sqref="F187">
      <formula1>='Listes deroulantes'!$S$2:$S$28</formula1>
    </dataValidation>
    <dataValidation type="list" operator="between" allowBlank="true" showInputMessage="true" showErrorMessage="true" sqref="F189:F198">
      <formula1>"Yes,No"</formula1>
    </dataValidation>
    <dataValidation type="list" operator="between" allowBlank="true" showInputMessage="true" showErrorMessage="true" sqref="F200:F202">
      <formula1>"Yes,No"</formula1>
    </dataValidation>
    <dataValidation type="list" operator="between" allowBlank="true" showInputMessage="true" showErrorMessage="true" sqref="F203">
      <formula1>"No,Picture Basic,Picture Rich,Video Basic,Video Rich,Megapixel,"</formula1>
    </dataValidation>
    <dataValidation type="list" operator="between" allowBlank="true" showInputMessage="true" showErrorMessage="true" sqref="F204">
      <formula1>"600 kB,300 kB,100 kB,30 kB"</formula1>
    </dataValidation>
    <dataValidation type="list" operator="between" allowBlank="true" showInputMessage="true" showErrorMessage="true" sqref="F205">
      <formula1>"No,Android Messages,OEM native messenger"</formula1>
    </dataValidation>
    <dataValidation type="list" operator="between" allowBlank="true" showInputMessage="true" showErrorMessage="true" sqref="F207">
      <formula1>"No,Integrated,Integrated AND Autofocus"</formula1>
    </dataValidation>
    <dataValidation type="list" operator="between" allowBlank="true" showInputMessage="true" showErrorMessage="true" sqref="F208">
      <formula1>"1,2,3,4,5"</formula1>
    </dataValidation>
    <dataValidation type="decimal" operator="between" allowBlank="true" showInputMessage="true" showErrorMessage="true" errorTitle="Main Camera1 resolution (Mpx)" error="numeric format expected - for instance 999,99 - or length characters exceeded" sqref="F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F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F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F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F213">
      <formula1>0</formula1>
      <formula2>999.99</formula2>
    </dataValidation>
    <dataValidation type="list" operator="between" allowBlank="true" showInputMessage="true" showErrorMessage="true" sqref="F214:F215">
      <formula1>"Yes,No"</formula1>
    </dataValidation>
    <dataValidation type="textLength" operator="between" allowBlank="true" showInputMessage="true" showErrorMessage="true" errorTitle="Main Camera comments" error="Alphanumeric size 500 characters exceeded" sqref="F216">
      <formula1>0</formula1>
      <formula2>500</formula2>
    </dataValidation>
    <dataValidation type="textLength" operator="between" allowBlank="true" showInputMessage="true" showErrorMessage="true" errorTitle="Main Camera Features" error="Alphanumeric size 500 characters exceeded" sqref="F217">
      <formula1>0</formula1>
      <formula2>500</formula2>
    </dataValidation>
    <dataValidation type="textLength" operator="between" allowBlank="true" showInputMessage="true" showErrorMessage="true" errorTitle="Main Camera video" error="Alphanumeric size 500 characters exceeded" sqref="F218">
      <formula1>0</formula1>
      <formula2>500</formula2>
    </dataValidation>
    <dataValidation type="list" operator="between" allowBlank="true" showInputMessage="true" showErrorMessage="true" sqref="F219">
      <formula1>"f/0.30,f/0.60,f/0.70,f/0.75,f/0.80,f/0.85,f/0.90,f/0.95,f/1.0,f/1.1,f/1.2,f/1.3,f/1.4,f/1.5,f/1.6,f/1.7,f/1.8,f/1.9,f/2.0,f/2.1,f/2.2,f/2.3,f/2.4,f/2.5,f/2.8,f/2.9,f/3.0"</formula1>
    </dataValidation>
    <dataValidation type="list" operator="between" allowBlank="true" showInputMessage="true" showErrorMessage="true" sqref="F220">
      <formula1>"Yes,No"</formula1>
    </dataValidation>
    <dataValidation type="list" operator="between" allowBlank="true" showInputMessage="true" showErrorMessage="true" sqref="F221">
      <formula1>"No,LED,2 LED,Xenon,Other"</formula1>
    </dataValidation>
    <dataValidation type="list" operator="between" allowBlank="true" showInputMessage="true" showErrorMessage="true" sqref="F223">
      <formula1>"No,Integrated,Integrated AND Autofocus"</formula1>
    </dataValidation>
    <dataValidation type="list" operator="between" allowBlank="true" showInputMessage="true" showErrorMessage="true" sqref="F224">
      <formula1>"1,2"</formula1>
    </dataValidation>
    <dataValidation type="decimal" operator="between" allowBlank="true" showInputMessage="true" showErrorMessage="true" errorTitle="Selfie Camera1 resolution (Mpx)" error="numeric format expected - for instance 999,99 - or length characters exceeded" sqref="F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F226">
      <formula1>0</formula1>
      <formula2>999.99</formula2>
    </dataValidation>
    <dataValidation type="list" operator="between" allowBlank="true" showInputMessage="true" showErrorMessage="true" sqref="F227:F228">
      <formula1>"Yes,No"</formula1>
    </dataValidation>
    <dataValidation type="textLength" operator="between" allowBlank="true" showInputMessage="true" showErrorMessage="true" errorTitle="Selfie Camera comments" error="Alphanumeric size 500 characters exceeded" sqref="F229">
      <formula1>0</formula1>
      <formula2>500</formula2>
    </dataValidation>
    <dataValidation type="textLength" operator="between" allowBlank="true" showInputMessage="true" showErrorMessage="true" errorTitle="Selfie Camera Features" error="Alphanumeric size 500 characters exceeded" sqref="F230">
      <formula1>0</formula1>
      <formula2>500</formula2>
    </dataValidation>
    <dataValidation type="textLength" operator="between" allowBlank="true" showInputMessage="true" showErrorMessage="true" errorTitle="Selfie Camera video" error="Alphanumeric size 500 characters exceeded" sqref="F231">
      <formula1>0</formula1>
      <formula2>500</formula2>
    </dataValidation>
    <dataValidation type="list" operator="between" allowBlank="true" showInputMessage="true" showErrorMessage="true" sqref="F233:F239">
      <formula1>"Yes,No"</formula1>
    </dataValidation>
    <dataValidation type="list" operator="between" allowBlank="true" showInputMessage="true" showErrorMessage="true" sqref="F241">
      <formula1>"Yes,No"</formula1>
    </dataValidation>
    <dataValidation type="list" operator="between" allowBlank="true" showInputMessage="true" showErrorMessage="true" sqref="F242">
      <formula1>"SMS,OMA client Provisioning v1.1,later OMA provisioning version,Other solution"</formula1>
    </dataValidation>
    <dataValidation type="decimal" operator="between" allowBlank="true" showInputMessage="true" showErrorMessage="true" errorTitle="Production value (kg CO2eq) " error="Numeric expected with max size 99,99" sqref="F249">
      <formula1>0</formula1>
      <formula2>99.99</formula2>
    </dataValidation>
    <dataValidation type="decimal" operator="between" allowBlank="true" showInputMessage="true" showErrorMessage="true" errorTitle="Transportation value (kg CO2eq)" error="Numeric expected with max size 99,99" sqref="F250">
      <formula1>0</formula1>
      <formula2>99.99</formula2>
    </dataValidation>
    <dataValidation type="list" operator="between" allowBlank="true" showInputMessage="true" showErrorMessage="true" error="Integer expected with max size 100" sqref="F252">
      <formula1>"R02,R03,R04,R05"</formula1>
    </dataValidation>
    <dataValidation type="decimal" operator="between" allowBlank="true" showInputMessage="true" showErrorMessage="true" errorTitle="Production value (kg CO2eq) " error="Numeric expected with max size 99,99" sqref="F253">
      <formula1>0</formula1>
      <formula2>99.99</formula2>
    </dataValidation>
    <dataValidation type="decimal" operator="between" allowBlank="true" showInputMessage="true" showErrorMessage="true" errorTitle="Adjustment for memory variant" error="-101&lt;Value expected&lt;101" sqref="F254">
      <formula1>-100.99</formula1>
      <formula2>100.99</formula2>
    </dataValidation>
    <dataValidation type="decimal" operator="between" allowBlank="true" showInputMessage="true" showErrorMessage="true" errorTitle="Production value (kg CO2eq) " error="Numeric expected with max size 99,99" sqref="F257">
      <formula1>0</formula1>
      <formula2>99.99</formula2>
    </dataValidation>
    <dataValidation type="decimal" operator="between" allowBlank="true" showInputMessage="true" showErrorMessage="true" errorTitle="Adjustment for memory variant" error="-101&lt;Value expected&lt;101" sqref="F258">
      <formula1>-100.99</formula1>
      <formula2>100.99</formula2>
    </dataValidation>
    <dataValidation type="decimal" operator="between" allowBlank="true" showInputMessage="true" showErrorMessage="true" errorTitle="Transportation value (kg CO2eq)" error="Numeric expected with max size 99,99" sqref="F259">
      <formula1>0</formula1>
      <formula2>99.99</formula2>
    </dataValidation>
    <dataValidation type="list" operator="between" allowBlank="true" showInputMessage="true" showErrorMessage="true" sqref="F260">
      <formula1>"World,EU,MEA"</formula1>
    </dataValidation>
    <dataValidation type="whole" operator="between" allowBlank="true" showInputMessage="true" showErrorMessage="true" error="Integer expected with max size 100" sqref="F265">
      <formula1>43101</formula1>
      <formula2>54788</formula2>
    </dataValidation>
    <dataValidation type="decimal" operator="between" allowBlank="true" showInputMessage="true" showErrorMessage="true" error="Numeric range expected from 0,00 to 999,99" sqref="F266">
      <formula1>0</formula1>
      <formula2>999.99</formula2>
    </dataValidation>
    <dataValidation type="date" operator="between" allowBlank="true" showInputMessage="true" showErrorMessage="true" error="Integer expected with max size 100" sqref="F267">
      <formula1>43101</formula1>
      <formula2>54788</formula2>
    </dataValidation>
    <dataValidation type="decimal" operator="between" allowBlank="true" showInputMessage="true" showErrorMessage="true" error="Numeric range expected from 0,00 to 999,99" sqref="F268">
      <formula1>0</formula1>
      <formula2>999.99</formula2>
    </dataValidation>
    <dataValidation type="whole" operator="between" allowBlank="true" showInputMessage="true" showErrorMessage="true" error="Integer expected with max size 100" sqref="F272">
      <formula1>43101</formula1>
      <formula2>54788</formula2>
    </dataValidation>
    <dataValidation type="decimal" operator="between" allowBlank="true" showInputMessage="true" showErrorMessage="true" error="Numeric range expected from 0,00 to 999,99" sqref="F273">
      <formula1>0</formula1>
      <formula2>999.99</formula2>
    </dataValidation>
    <dataValidation type="date" operator="between" allowBlank="true" showInputMessage="true" showErrorMessage="true" error="Integer expected with max size 100" sqref="F274">
      <formula1>43101</formula1>
      <formula2>54788</formula2>
    </dataValidation>
    <dataValidation type="decimal" operator="between" allowBlank="true" showInputMessage="true" showErrorMessage="true" error="Numeric range expected from 0,00 to 999,99" sqref="F275">
      <formula1>0</formula1>
      <formula2>999.99</formula2>
    </dataValidation>
    <dataValidation type="whole" operator="between" allowBlank="true" showInputMessage="true" showErrorMessage="true" error="Integer expected with max size 100" sqref="F279">
      <formula1>43101</formula1>
      <formula2>54788</formula2>
    </dataValidation>
    <dataValidation type="decimal" operator="between" allowBlank="true" showInputMessage="true" showErrorMessage="true" error="Numeric range expected from 0,00 to 999,99" sqref="F280">
      <formula1>0</formula1>
      <formula2>999.99</formula2>
    </dataValidation>
    <dataValidation type="date" operator="between" allowBlank="true" showInputMessage="true" showErrorMessage="true" error="Integer expected with max size 100" sqref="F281">
      <formula1>43101</formula1>
      <formula2>54788</formula2>
    </dataValidation>
    <dataValidation type="decimal" operator="between" allowBlank="true" showInputMessage="true" showErrorMessage="true" error="Numeric range expected from 0,00 to 999,99" sqref="F282">
      <formula1>0</formula1>
      <formula2>999.99</formula2>
    </dataValidation>
    <dataValidation type="textLength" errorStyle="stop" operator="between" allowBlank="true" showDropDown="false" showInputMessage="true" showErrorMessage="true" prompt="" sqref="G2">
      <formula1>1</formula1>
      <formula2>10000</formula2>
    </dataValidation>
    <dataValidation type="list" operator="between" allowBlank="true" showInputMessage="true" showErrorMessage="true" sqref="G6">
      <formula1>"Mobile,Tablet"</formula1>
    </dataValidation>
    <dataValidation type="textLength" operator="between" allowBlank="true" showInputMessage="true" showErrorMessage="true" errorTitle="GCF Model name" error="Alphanumeric size 64 characters exceeded" sqref="G8">
      <formula1>0</formula1>
      <formula2>64</formula2>
    </dataValidation>
    <dataValidation type="textLength" operator="between" allowBlank="true" showInputMessage="true" showErrorMessage="true" errorTitle="Comments" error="Alphanumeric size 2000 characters exceeded" sqref="G9">
      <formula1>0</formula1>
      <formula2>2000</formula2>
    </dataValidation>
    <dataValidation type="date" operator="between" allowBlank="true" showErrorMessage="true" errorTitle="Marketing samples availability" error="Date expected" sqref="G10">
      <formula1>43101</formula1>
      <formula2>54788</formula2>
    </dataValidation>
    <dataValidation type="date" operator="between" allowBlank="true" showErrorMessage="true" errorTitle="Technical samples availability" error="Date expected" sqref="G11">
      <formula1>43101</formula1>
      <formula2>54788</formula2>
    </dataValidation>
    <dataValidation type="date" operator="between" allowBlank="true" showErrorMessage="true" errorTitle="Expected Generic Street Launch" error="Date expected" sqref="G12">
      <formula1>43101</formula1>
      <formula2>54788</formula2>
    </dataValidation>
    <dataValidation type="date" operator="between" allowBlank="true" showErrorMessage="true" errorTitle="Expected availability warehouse" error="Date expected" sqref="G13">
      <formula1>43101</formula1>
      <formula2>54788</formula2>
    </dataValidation>
    <dataValidation type="date" operator="between" allowBlank="true" showErrorMessage="true" errorTitle="GCF date" error="Date expected" sqref="G14:G15">
      <formula1>43101</formula1>
      <formula2>54788</formula2>
    </dataValidation>
    <dataValidation type="date" operator="between" allowBlank="true" showErrorMessage="true" errorTitle="Wi-Fi alliance date" error="Date expected" sqref="G16">
      <formula1>43101</formula1>
      <formula2>54788</formula2>
    </dataValidation>
    <dataValidation type="list" operator="between" allowBlank="true" showInputMessage="true" showErrorMessage="true" sqref="G17">
      <formula1>"Flagship,Everyday Superphone,Essential Smartphone,Voice,Not applicable"</formula1>
    </dataValidation>
    <dataValidation type="decimal" operator="between" allowBlank="true" showInputMessage="true" showErrorMessage="true" errorTitle="Repairability index" error="Numeric expected with max size 10,00" sqref="G18">
      <formula1>0</formula1>
      <formula2>10</formula2>
    </dataValidation>
    <dataValidation type="textLength" operator="between" allowBlank="true" showInputMessage="true" showErrorMessage="true" errorTitle="Comments" error="Alphanumeric size 2000 characters exceeded" sqref="G19">
      <formula1>0</formula1>
      <formula2>2000</formula2>
    </dataValidation>
    <dataValidation type="textLength" operator="between" allowBlank="true" showInputMessage="true" showErrorMessage="true" errorTitle="Commercial name" error="Alphanumeric size 120 characters exceeded" sqref="G21">
      <formula1>0</formula1>
      <formula2>120</formula2>
    </dataValidation>
    <dataValidation type="textLength" operator="between" allowBlank="true" showInputMessage="true" showErrorMessage="true" errorTitle="Orange Variant name" error="Alphanumeric size 120 characters exceeded" sqref="G22">
      <formula1>0</formula1>
      <formula2>240</formula2>
    </dataValidation>
    <dataValidation type="list" operator="between" allowBlank="true" showInputMessage="true" showErrorMessage="true" sqref="G23">
      <formula1>"ODM - OBD, ODM - Not OBD"</formula1>
    </dataValidation>
    <dataValidation type="list" operator="between" allowBlank="true" showInputMessage="true" showErrorMessage="true" sqref="G24">
      <formula1>"Flagship,Everyday Superphone,Essential Smartphone,Voice,Not applicable"</formula1>
    </dataValidation>
    <dataValidation type="list" operator="between" allowBlank="true" showInputMessage="true" showErrorMessage="true" sqref="G25">
      <formula1>"Essential Smartphone High,Essential Smartphone Entry,Not applicable"</formula1>
    </dataValidation>
    <dataValidation type="list" operator="between" allowBlank="true" showInputMessage="true" showErrorMessage="true" sqref="G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G29">
      <formula1>0</formula1>
      <formula2>50</formula2>
    </dataValidation>
    <dataValidation type="textLength" operator="between" allowBlank="true" showInputMessage="true" showErrorMessage="true" errorTitle="Hardware Platform ref name" error="Alphanumeric size 50 characters exceeded" sqref="G30">
      <formula1>0</formula1>
      <formula2>50</formula2>
    </dataValidation>
    <dataValidation type="list" operator="between" allowBlank="true" showInputMessage="true" showErrorMessage="true" sqref="G31">
      <formula1>='Listes deroulantes'!$U$2:$U$28</formula1>
    </dataValidation>
    <dataValidation type="list" operator="between" allowBlank="true" showInputMessage="true" showErrorMessage="true" sqref="G33">
      <formula1>"0,1,2,3,4,6,8,Others"</formula1>
    </dataValidation>
    <dataValidation type="list" operator="between" allowBlank="true" showInputMessage="true" showErrorMessage="true" sqref="G36">
      <formula1>"Android,BlackBerry,Firefox,iOS,iPadOS,KaiOS,Symbian,Tizen,Windows,Windows Phone,Proprietary,Other"</formula1>
    </dataValidation>
    <dataValidation type="textLength" operator="between" allowBlank="true" showInputMessage="true" showErrorMessage="true" errorTitle="OS Android patch upgrade (years)" error="Integer size 2 characters exceeded" sqref="G39">
      <formula1>0</formula1>
      <formula2>2</formula2>
    </dataValidation>
    <dataValidation type="list" operator="between" allowBlank="true" showInputMessage="true" showErrorMessage="true" errorTitle="Frequency Android OS security" error="Value not allowed, select value from drop down menu" sqref="G40">
      <formula1>"Monthly,Quarterly,Half-yearly,Yearly"</formula1>
    </dataValidation>
    <dataValidation type="list" operator="between" allowBlank="true" showInputMessage="true" showErrorMessage="true" sqref="G42:G48">
      <formula1>"Yes,No"</formula1>
    </dataValidation>
    <dataValidation type="list" operator="between" allowBlank="true" showInputMessage="true" showErrorMessage="true" sqref="G49">
      <formula1>"FDD,TDD,FDD / TDD"</formula1>
    </dataValidation>
    <dataValidation type="list" operator="between" allowBlank="true" showInputMessage="true" showErrorMessage="true" sqref="G50:G51">
      <formula1>='Listes deroulantes'!$A$2:$A$32</formula1>
    </dataValidation>
    <dataValidation type="list" operator="between" allowBlank="true" showInputMessage="true" showErrorMessage="true" sqref="G52">
      <formula1>='Listes deroulantes'!$C$2:$C$23</formula1>
    </dataValidation>
    <dataValidation type="list" operator="between" allowBlank="true" showInputMessage="true" showErrorMessage="true" sqref="G53:G56">
      <formula1>"Yes,No"</formula1>
    </dataValidation>
    <dataValidation type="list" operator="between" allowBlank="true" showInputMessage="true" showErrorMessage="true" sqref="G57">
      <formula1>"No,2x2,4x4,4x2"</formula1>
    </dataValidation>
    <dataValidation type="list" operator="between" allowBlank="true" showInputMessage="true" showErrorMessage="true" sqref="G58">
      <formula1>"No,2x2"</formula1>
    </dataValidation>
    <dataValidation type="list" operator="between" allowBlank="true" showInputMessage="true" showErrorMessage="true" sqref="G59">
      <formula1>"No,2,3,4,5,6,7,8"</formula1>
    </dataValidation>
    <dataValidation type="list" operator="between" allowBlank="true" showInputMessage="true" showErrorMessage="true" sqref="G60">
      <formula1>='Listes deroulantes'!$G$2:$G$5</formula1>
    </dataValidation>
    <dataValidation type="list" operator="between" allowBlank="true" showInputMessage="true" showErrorMessage="true" sqref="G61">
      <formula1>='Listes deroulantes'!$I$2:$I$3</formula1>
    </dataValidation>
    <dataValidation type="list" operator="between" allowBlank="true" showInputMessage="true" showErrorMessage="true" sqref="G62">
      <formula1>='Listes deroulantes'!$K$2:$K$4</formula1>
    </dataValidation>
    <dataValidation type="list" operator="between" allowBlank="true" showInputMessage="true" showErrorMessage="true" sqref="G64:G83">
      <formula1>"Yes,No"</formula1>
    </dataValidation>
    <dataValidation type="list" operator="between" showInputMessage="true" showErrorMessage="true" sqref="G84:G86">
      <formula1>"Yes,No"</formula1>
      <formula2/>
    </dataValidation>
    <dataValidation type="list" operator="between" allowBlank="true" showInputMessage="true" showErrorMessage="true" sqref="G87">
      <formula1>"Yes,No"</formula1>
    </dataValidation>
    <dataValidation type="list" operator="between" showInputMessage="true" showErrorMessage="true" sqref="G88">
      <formula1>"Yes,No"</formula1>
      <formula2/>
    </dataValidation>
    <dataValidation type="list" operator="between" allowBlank="true" showInputMessage="true" showErrorMessage="true" sqref="G89">
      <formula1>"Yes,No"</formula1>
    </dataValidation>
    <dataValidation type="list" operator="between" showInputMessage="true" showErrorMessage="true" sqref="G90:G91">
      <formula1>"Yes,No"</formula1>
      <formula2/>
    </dataValidation>
    <dataValidation type="list" operator="between" allowBlank="true" showInputMessage="true" showErrorMessage="true" sqref="G92:G97">
      <formula1>"Yes,No"</formula1>
    </dataValidation>
    <dataValidation type="list" operator="between" allowBlank="true" showInputMessage="true" showErrorMessage="true" sqref="G98:G101">
      <formula1>='Listes deroulantes'!$I$2:$I$3</formula1>
    </dataValidation>
    <dataValidation type="decimal" operator="between" allowBlank="true" showInputMessage="true" showErrorMessage="true" errorTitle="Weight (g)" error="numeric format expected - for instance 999,99 maximum - or length characters exceeded" sqref="G103:G106">
      <formula1>0</formula1>
      <formula2>999.99</formula2>
    </dataValidation>
    <dataValidation type="list" operator="between" allowBlank="true" showInputMessage="true" showErrorMessage="true" sqref="G107">
      <formula1>"Bar,Messenger bar,Clamshell,Slide,Touch,Messenger/sliding touch,Other"</formula1>
    </dataValidation>
    <dataValidation type="list" operator="between" allowBlank="true" showInputMessage="true" showErrorMessage="true" sqref="G108:G109">
      <formula1>"Yes,No"</formula1>
    </dataValidation>
    <dataValidation type="list" operator="between" allowBlank="true" showInputMessage="true" showErrorMessage="true" sqref="G110">
      <formula1>"Hard AZERTY/QWERTY,Touch AZERTY/QWERTY,Hard 20 keys,Numeric keypad only	"</formula1>
    </dataValidation>
    <dataValidation type="list" operator="between" allowBlank="true" showInputMessage="true" showErrorMessage="true" sqref="G112">
      <formula1>"2m,1.8m,1.5m,1.2m,1.0m,&lt;1.0m"</formula1>
    </dataValidation>
    <dataValidation type="list" operator="between" allowBlank="true" showInputMessage="true" showErrorMessage="true" sqref="G113">
      <formula1>"IP52,IP54,IP57,IP58,IP64,IP67,IP68,Not known,Other"</formula1>
    </dataValidation>
    <dataValidation type="list" operator="between" allowBlank="true" showInputMessage="true" showErrorMessage="true" sqref="G114:G115">
      <formula1>"Yes,No"</formula1>
    </dataValidation>
    <dataValidation type="decimal" operator="between" allowBlank="true" showInputMessage="true" showErrorMessage="true" errorTitle="Screen size (in inches) diagonal" error="numeric format expected - for instance 99,99 - or length characters exceeded" sqref="G117">
      <formula1>0</formula1>
      <formula2>99.99</formula2>
    </dataValidation>
    <dataValidation type="whole" operator="between" allowBlank="true" showInputMessage="true" showErrorMessage="true" errorTitle="Width (px)" error="Integer size 4 expected or lenght characters exceeded" sqref="G118">
      <formula1>0</formula1>
      <formula2>9999</formula2>
    </dataValidation>
    <dataValidation type="whole" operator="between" allowBlank="true" showInputMessage="true" showErrorMessage="true" errorTitle="Height (px)" error="Integer size 4 expected or lenght characters exceeded" sqref="G119">
      <formula1>0</formula1>
      <formula2>9999</formula2>
    </dataValidation>
    <dataValidation type="list" operator="between" allowBlank="true" showInputMessage="true" showErrorMessage="true" sqref="G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G121">
      <formula1>0</formula1>
      <formula2>9999</formula2>
    </dataValidation>
    <dataValidation type="textLength" operator="between" allowBlank="true" showInputMessage="true" showErrorMessage="true" errorTitle="Contrast ratio" error="Expected length 0&lt;= value length &lt;51" sqref="G122">
      <formula1>0</formula1>
      <formula2>50</formula2>
    </dataValidation>
    <dataValidation type="textLength" operator="between" allowBlank="true" showInputMessage="true" showErrorMessage="true" errorTitle="Brightness (cd/m2)" error="Expected length 0&lt;= value length &lt;51" sqref="G123">
      <formula1>0</formula1>
      <formula2>50</formula2>
    </dataValidation>
    <dataValidation type="list" operator="between" allowBlank="true" showInputMessage="true" showErrorMessage="true" sqref="G124:G126">
      <formula1>"Yes,No"</formula1>
    </dataValidation>
    <dataValidation type="list" operator="between" allowBlank="true" showInputMessage="true" showErrorMessage="true" sqref="G128">
      <formula1>"Yes,No"</formula1>
    </dataValidation>
    <dataValidation type="list" operator="between" allowBlank="true" showInputMessage="true" showErrorMessage="true" sqref="G129">
      <formula1>"No,2,3,4,5,More"</formula1>
    </dataValidation>
    <dataValidation type="list" operator="between" allowBlank="true" showInputMessage="true" showErrorMessage="true" sqref="G130">
      <formula1>"No,2FF,3FF (MicroSIM),4FF (nano SIM),e-SIM,e-SIM or 4FF (nano SIM)"</formula1>
    </dataValidation>
    <dataValidation type="textLength" operator="between" allowBlank="true" showInputMessage="true" showErrorMessage="true" errorTitle="Wi-FI chipset name" error="Alphanumeric size 50 characters exceeded" sqref="G133">
      <formula1>0</formula1>
      <formula2>50</formula2>
    </dataValidation>
    <dataValidation type="list" operator="between" allowBlank="true" showInputMessage="true" showErrorMessage="true" sqref="G134:G148">
      <formula1>"Yes,No"</formula1>
    </dataValidation>
    <dataValidation type="textLength" operator="between" allowBlank="true" showInputMessage="true" showErrorMessage="true" errorTitle="Wi-FI chipset name" error="Alphanumeric size 50 characters exceeded" sqref="G149">
      <formula1>0</formula1>
      <formula2>50</formula2>
    </dataValidation>
    <dataValidation type="list" operator="between" allowBlank="true" showInputMessage="true" showErrorMessage="true" sqref="G150">
      <formula1>='Listes deroulantes'!$V$2:$V$16</formula1>
    </dataValidation>
    <dataValidation type="textLength" operator="between" allowBlank="true" showInputMessage="true" showErrorMessage="true" errorTitle="Bluetooth Profile" error="Alphanumeric size 100 characters exceeded" sqref="G151">
      <formula1>0</formula1>
      <formula2>100</formula2>
    </dataValidation>
    <dataValidation type="list" operator="between" allowBlank="true" showInputMessage="true" showErrorMessage="true" sqref="G152:G157">
      <formula1>"Yes,No"</formula1>
    </dataValidation>
    <dataValidation type="list" operator="between" allowBlank="true" showInputMessage="true" showErrorMessage="true" sqref="G158">
      <formula1>"No,A-GPS,GPS Standalone,GNSS"</formula1>
    </dataValidation>
    <dataValidation type="list" operator="between" allowBlank="true" showInputMessage="true" showErrorMessage="true" sqref="G159">
      <formula1>='Listes deroulantes'!$Q$2:$Q$10</formula1>
    </dataValidation>
    <dataValidation type="list" operator="between" allowBlank="true" showInputMessage="true" showErrorMessage="true" sqref="G160">
      <formula1>='Listes deroulantes'!$W$2:$W$9</formula1>
    </dataValidation>
    <dataValidation type="list" operator="between" allowBlank="true" showInputMessage="true" showErrorMessage="true" sqref="G161:G166">
      <formula1>"Yes,No"</formula1>
    </dataValidation>
    <dataValidation type="list" operator="between" allowBlank="true" showInputMessage="true" showErrorMessage="true" sqref="G168:G172">
      <formula1>"Yes,No"</formula1>
    </dataValidation>
    <dataValidation type="whole" operator="between" allowBlank="true" showInputMessage="true" showErrorMessage="true" errorTitle="Battery capacity (mAh)" error="Integer size 5 expected or lenght characters exceeded" sqref="G176">
      <formula1>0</formula1>
      <formula2>99999</formula2>
    </dataValidation>
    <dataValidation type="list" operator="between" allowBlank="true" showInputMessage="true" showErrorMessage="true" sqref="G177">
      <formula1>"Li-Ion,Li-Poly,Li-Ion-Poly,Li-Technology,NiMH"</formula1>
    </dataValidation>
    <dataValidation type="list" operator="between" allowBlank="true" showInputMessage="true" showErrorMessage="true" sqref="G178">
      <formula1>"Yes,No"</formula1>
    </dataValidation>
    <dataValidation type="list" operator="between" allowBlank="true" showInputMessage="true" showErrorMessage="true" sqref="G179:G180">
      <formula1>"No,Qi,Other"</formula1>
    </dataValidation>
    <dataValidation type="list" operator="between" allowBlank="true" showInputMessage="true" showErrorMessage="true" sqref="G182">
      <formula1>"2TB,1TB,512GB,256GB,128GB,64GB,32GB,16GB,8GB,4GB,2GB,1GB,512MB,256MB,128MB"</formula1>
    </dataValidation>
    <dataValidation type="list" operator="between" allowBlank="true" showInputMessage="true" showErrorMessage="true" sqref="G183:G186">
      <formula1>"Yes,No"</formula1>
    </dataValidation>
    <dataValidation type="list" operator="between" allowBlank="true" showErrorMessage="true" sqref="G187">
      <formula1>='Listes deroulantes'!$S$2:$S$28</formula1>
    </dataValidation>
    <dataValidation type="list" operator="between" allowBlank="true" showInputMessage="true" showErrorMessage="true" sqref="G189:G198">
      <formula1>"Yes,No"</formula1>
    </dataValidation>
    <dataValidation type="list" operator="between" allowBlank="true" showInputMessage="true" showErrorMessage="true" sqref="G200:G202">
      <formula1>"Yes,No"</formula1>
    </dataValidation>
    <dataValidation type="list" operator="between" allowBlank="true" showInputMessage="true" showErrorMessage="true" sqref="G203">
      <formula1>"No,Picture Basic,Picture Rich,Video Basic,Video Rich,Megapixel,"</formula1>
    </dataValidation>
    <dataValidation type="list" operator="between" allowBlank="true" showInputMessage="true" showErrorMessage="true" sqref="G204">
      <formula1>"600 kB,300 kB,100 kB,30 kB"</formula1>
    </dataValidation>
    <dataValidation type="list" operator="between" allowBlank="true" showInputMessage="true" showErrorMessage="true" sqref="G205">
      <formula1>"No,Android Messages,OEM native messenger"</formula1>
    </dataValidation>
    <dataValidation type="list" operator="between" allowBlank="true" showInputMessage="true" showErrorMessage="true" sqref="G207">
      <formula1>"No,Integrated,Integrated AND Autofocus"</formula1>
    </dataValidation>
    <dataValidation type="list" operator="between" allowBlank="true" showInputMessage="true" showErrorMessage="true" sqref="G208">
      <formula1>"1,2,3,4,5"</formula1>
    </dataValidation>
    <dataValidation type="decimal" operator="between" allowBlank="true" showInputMessage="true" showErrorMessage="true" errorTitle="Main Camera1 resolution (Mpx)" error="numeric format expected - for instance 999,99 - or length characters exceeded" sqref="G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G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G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G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G213">
      <formula1>0</formula1>
      <formula2>999.99</formula2>
    </dataValidation>
    <dataValidation type="list" operator="between" allowBlank="true" showInputMessage="true" showErrorMessage="true" sqref="G214:G215">
      <formula1>"Yes,No"</formula1>
    </dataValidation>
    <dataValidation type="textLength" operator="between" allowBlank="true" showInputMessage="true" showErrorMessage="true" errorTitle="Main Camera comments" error="Alphanumeric size 500 characters exceeded" sqref="G216">
      <formula1>0</formula1>
      <formula2>500</formula2>
    </dataValidation>
    <dataValidation type="textLength" operator="between" allowBlank="true" showInputMessage="true" showErrorMessage="true" errorTitle="Main Camera Features" error="Alphanumeric size 500 characters exceeded" sqref="G217">
      <formula1>0</formula1>
      <formula2>500</formula2>
    </dataValidation>
    <dataValidation type="textLength" operator="between" allowBlank="true" showInputMessage="true" showErrorMessage="true" errorTitle="Main Camera video" error="Alphanumeric size 500 characters exceeded" sqref="G218">
      <formula1>0</formula1>
      <formula2>500</formula2>
    </dataValidation>
    <dataValidation type="list" operator="between" allowBlank="true" showInputMessage="true" showErrorMessage="true" sqref="G219">
      <formula1>"f/0.30,f/0.60,f/0.70,f/0.75,f/0.80,f/0.85,f/0.90,f/0.95,f/1.0,f/1.1,f/1.2,f/1.3,f/1.4,f/1.5,f/1.6,f/1.7,f/1.8,f/1.9,f/2.0,f/2.1,f/2.2,f/2.3,f/2.4,f/2.5,f/2.8,f/2.9,f/3.0"</formula1>
    </dataValidation>
    <dataValidation type="list" operator="between" allowBlank="true" showInputMessage="true" showErrorMessage="true" sqref="G220">
      <formula1>"Yes,No"</formula1>
    </dataValidation>
    <dataValidation type="list" operator="between" allowBlank="true" showInputMessage="true" showErrorMessage="true" sqref="G221">
      <formula1>"No,LED,2 LED,Xenon,Other"</formula1>
    </dataValidation>
    <dataValidation type="list" operator="between" allowBlank="true" showInputMessage="true" showErrorMessage="true" sqref="G223">
      <formula1>"No,Integrated,Integrated AND Autofocus"</formula1>
    </dataValidation>
    <dataValidation type="list" operator="between" allowBlank="true" showInputMessage="true" showErrorMessage="true" sqref="G224">
      <formula1>"1,2"</formula1>
    </dataValidation>
    <dataValidation type="decimal" operator="between" allowBlank="true" showInputMessage="true" showErrorMessage="true" errorTitle="Selfie Camera1 resolution (Mpx)" error="numeric format expected - for instance 999,99 - or length characters exceeded" sqref="G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G226">
      <formula1>0</formula1>
      <formula2>999.99</formula2>
    </dataValidation>
    <dataValidation type="list" operator="between" allowBlank="true" showInputMessage="true" showErrorMessage="true" sqref="G227:G228">
      <formula1>"Yes,No"</formula1>
    </dataValidation>
    <dataValidation type="textLength" operator="between" allowBlank="true" showInputMessage="true" showErrorMessage="true" errorTitle="Selfie Camera comments" error="Alphanumeric size 500 characters exceeded" sqref="G229">
      <formula1>0</formula1>
      <formula2>500</formula2>
    </dataValidation>
    <dataValidation type="textLength" operator="between" allowBlank="true" showInputMessage="true" showErrorMessage="true" errorTitle="Selfie Camera Features" error="Alphanumeric size 500 characters exceeded" sqref="G230">
      <formula1>0</formula1>
      <formula2>500</formula2>
    </dataValidation>
    <dataValidation type="textLength" operator="between" allowBlank="true" showInputMessage="true" showErrorMessage="true" errorTitle="Selfie Camera video" error="Alphanumeric size 500 characters exceeded" sqref="G231">
      <formula1>0</formula1>
      <formula2>500</formula2>
    </dataValidation>
    <dataValidation type="list" operator="between" allowBlank="true" showInputMessage="true" showErrorMessage="true" sqref="G233:G239">
      <formula1>"Yes,No"</formula1>
    </dataValidation>
    <dataValidation type="list" operator="between" allowBlank="true" showInputMessage="true" showErrorMessage="true" sqref="G241">
      <formula1>"Yes,No"</formula1>
    </dataValidation>
    <dataValidation type="list" operator="between" allowBlank="true" showInputMessage="true" showErrorMessage="true" sqref="G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G244">
      <formula1>0</formula1>
      <formula2>9.99</formula2>
    </dataValidation>
    <dataValidation type="decimal" operator="between" allowBlank="true" showInputMessage="true" showErrorMessage="true" errorTitle="SAR head (Watt/kg)" error="numeric format expected - for instance 9,999 - or length characters exceeded" sqref="G245:G246">
      <formula1>0</formula1>
      <formula2>9.99</formula2>
    </dataValidation>
    <dataValidation type="decimal" operator="between" allowBlank="true" showInputMessage="true" showErrorMessage="true" errorTitle="Production value (kg CO2eq) " error="Numeric expected with max size 99,99" sqref="G249">
      <formula1>0</formula1>
      <formula2>99.99</formula2>
    </dataValidation>
    <dataValidation type="decimal" operator="between" allowBlank="true" showInputMessage="true" showErrorMessage="true" errorTitle="Transportation value (kg CO2eq)" error="Numeric expected with max size 99,99" sqref="G250">
      <formula1>0</formula1>
      <formula2>99.99</formula2>
    </dataValidation>
    <dataValidation type="list" operator="between" allowBlank="true" showInputMessage="true" showErrorMessage="true" error="Integer expected with max size 100" sqref="G252">
      <formula1>"R02,R03,R04,R05"</formula1>
    </dataValidation>
    <dataValidation type="decimal" operator="between" allowBlank="true" showInputMessage="true" showErrorMessage="true" errorTitle="Production value (kg CO2eq) " error="Numeric expected with max size 99,99" sqref="G253">
      <formula1>0</formula1>
      <formula2>99.99</formula2>
    </dataValidation>
    <dataValidation type="decimal" operator="between" allowBlank="true" showInputMessage="true" showErrorMessage="true" errorTitle="Adjustment for memory variant" error="-101&lt;Value expected&lt;101" sqref="G254">
      <formula1>-100.99</formula1>
      <formula2>100.99</formula2>
    </dataValidation>
    <dataValidation type="decimal" operator="between" allowBlank="true" showInputMessage="true" showErrorMessage="true" errorTitle="Transportation value (kg CO2eq)" error="Numeric expected with max size 99,99" sqref="G255">
      <formula1>0</formula1>
      <formula2>99.99</formula2>
    </dataValidation>
    <dataValidation type="decimal" operator="between" allowBlank="true" showInputMessage="true" showErrorMessage="true" errorTitle="Production value (kg CO2eq) " error="Numeric expected with max size 99,99" sqref="G257">
      <formula1>0</formula1>
      <formula2>99.99</formula2>
    </dataValidation>
    <dataValidation type="decimal" operator="between" allowBlank="true" showInputMessage="true" showErrorMessage="true" errorTitle="Adjustment for memory variant" error="-101&lt;Value expected&lt;101" sqref="G258">
      <formula1>-100.99</formula1>
      <formula2>100.99</formula2>
    </dataValidation>
    <dataValidation type="decimal" operator="between" allowBlank="true" showInputMessage="true" showErrorMessage="true" errorTitle="Transportation value (kg CO2eq)" error="Numeric expected with max size 99,99" sqref="G259">
      <formula1>0</formula1>
      <formula2>99.99</formula2>
    </dataValidation>
    <dataValidation type="list" operator="between" allowBlank="true" showInputMessage="true" showErrorMessage="true" sqref="G260">
      <formula1>"World,EU,MEA"</formula1>
    </dataValidation>
    <dataValidation type="whole" operator="between" allowBlank="true" showInputMessage="true" showErrorMessage="true" error="Integer expected with max size 100" sqref="G265">
      <formula1>43101</formula1>
      <formula2>54788</formula2>
    </dataValidation>
    <dataValidation type="decimal" operator="between" allowBlank="true" showInputMessage="true" showErrorMessage="true" error="Numeric range expected from 0,00 to 999,99" sqref="G266">
      <formula1>0</formula1>
      <formula2>999.99</formula2>
    </dataValidation>
    <dataValidation type="date" operator="between" allowBlank="true" showInputMessage="true" showErrorMessage="true" error="Integer expected with max size 100" sqref="G267">
      <formula1>43101</formula1>
      <formula2>54788</formula2>
    </dataValidation>
    <dataValidation type="decimal" operator="between" allowBlank="true" showInputMessage="true" showErrorMessage="true" error="Numeric range expected from 0,00 to 999,99" sqref="G268">
      <formula1>0</formula1>
      <formula2>999.99</formula2>
    </dataValidation>
    <dataValidation type="whole" operator="between" allowBlank="true" showInputMessage="true" showErrorMessage="true" error="Integer expected with max size 100" sqref="G272">
      <formula1>43101</formula1>
      <formula2>54788</formula2>
    </dataValidation>
    <dataValidation type="decimal" operator="between" allowBlank="true" showInputMessage="true" showErrorMessage="true" error="Numeric range expected from 0,00 to 999,99" sqref="G273">
      <formula1>0</formula1>
      <formula2>999.99</formula2>
    </dataValidation>
    <dataValidation type="date" operator="between" allowBlank="true" showInputMessage="true" showErrorMessage="true" error="Integer expected with max size 100" sqref="G274">
      <formula1>43101</formula1>
      <formula2>54788</formula2>
    </dataValidation>
    <dataValidation type="decimal" operator="between" allowBlank="true" showInputMessage="true" showErrorMessage="true" error="Numeric range expected from 0,00 to 999,99" sqref="G275">
      <formula1>0</formula1>
      <formula2>999.99</formula2>
    </dataValidation>
    <dataValidation type="whole" operator="between" allowBlank="true" showInputMessage="true" showErrorMessage="true" error="Integer expected with max size 100" sqref="G279">
      <formula1>43101</formula1>
      <formula2>54788</formula2>
    </dataValidation>
    <dataValidation type="decimal" operator="between" allowBlank="true" showInputMessage="true" showErrorMessage="true" error="Numeric range expected from 0,00 to 999,99" sqref="G280">
      <formula1>0</formula1>
      <formula2>999.99</formula2>
    </dataValidation>
    <dataValidation type="date" operator="between" allowBlank="true" showInputMessage="true" showErrorMessage="true" error="Integer expected with max size 100" sqref="G281">
      <formula1>43101</formula1>
      <formula2>54788</formula2>
    </dataValidation>
    <dataValidation type="decimal" operator="between" allowBlank="true" showInputMessage="true" showErrorMessage="true" error="Numeric range expected from 0,00 to 999,99" sqref="G282">
      <formula1>0</formula1>
      <formula2>999.99</formula2>
    </dataValidation>
    <dataValidation type="textLength" errorStyle="stop" operator="between" allowBlank="true" showDropDown="false" showInputMessage="true" showErrorMessage="true" prompt="" sqref="H2">
      <formula1>1</formula1>
      <formula2>10000</formula2>
    </dataValidation>
    <dataValidation type="list" operator="between" allowBlank="true" showInputMessage="true" showErrorMessage="true" sqref="H6">
      <formula1>"Mobile,Tablet"</formula1>
    </dataValidation>
    <dataValidation type="textLength" operator="between" allowBlank="true" showInputMessage="true" showErrorMessage="true" errorTitle="GCF Model name" error="Alphanumeric size 64 characters exceeded" sqref="H8">
      <formula1>0</formula1>
      <formula2>64</formula2>
    </dataValidation>
    <dataValidation type="textLength" operator="between" allowBlank="true" showInputMessage="true" showErrorMessage="true" errorTitle="Comments" error="Alphanumeric size 2000 characters exceeded" sqref="H9">
      <formula1>0</formula1>
      <formula2>2000</formula2>
    </dataValidation>
    <dataValidation type="date" operator="between" allowBlank="true" showErrorMessage="true" errorTitle="Marketing samples availability" error="Date expected" sqref="H10">
      <formula1>43101</formula1>
      <formula2>54788</formula2>
    </dataValidation>
    <dataValidation type="date" operator="between" allowBlank="true" showErrorMessage="true" errorTitle="Technical samples availability" error="Date expected" sqref="H11">
      <formula1>43101</formula1>
      <formula2>54788</formula2>
    </dataValidation>
    <dataValidation type="date" operator="between" allowBlank="true" showErrorMessage="true" errorTitle="Expected Generic Street Launch" error="Date expected" sqref="H12">
      <formula1>43101</formula1>
      <formula2>54788</formula2>
    </dataValidation>
    <dataValidation type="date" operator="between" allowBlank="true" showErrorMessage="true" errorTitle="Expected availability warehouse" error="Date expected" sqref="H13">
      <formula1>43101</formula1>
      <formula2>54788</formula2>
    </dataValidation>
    <dataValidation type="date" operator="between" allowBlank="true" showErrorMessage="true" errorTitle="GCF date" error="Date expected" sqref="H14:H15">
      <formula1>43101</formula1>
      <formula2>54788</formula2>
    </dataValidation>
    <dataValidation type="date" operator="between" allowBlank="true" showErrorMessage="true" errorTitle="Wi-Fi alliance date" error="Date expected" sqref="H16">
      <formula1>43101</formula1>
      <formula2>54788</formula2>
    </dataValidation>
    <dataValidation type="list" operator="between" allowBlank="true" showInputMessage="true" showErrorMessage="true" sqref="H17">
      <formula1>"Flagship,Everyday Superphone,Essential Smartphone,Voice,Not applicable"</formula1>
    </dataValidation>
    <dataValidation type="decimal" operator="between" allowBlank="true" showInputMessage="true" showErrorMessage="true" errorTitle="Repairability index" error="Numeric expected with max size 10,00" sqref="H18">
      <formula1>0</formula1>
      <formula2>10</formula2>
    </dataValidation>
    <dataValidation type="textLength" operator="between" allowBlank="true" showInputMessage="true" showErrorMessage="true" errorTitle="Comments" error="Alphanumeric size 2000 characters exceeded" sqref="H19">
      <formula1>0</formula1>
      <formula2>2000</formula2>
    </dataValidation>
    <dataValidation type="textLength" operator="between" allowBlank="true" showInputMessage="true" showErrorMessage="true" errorTitle="Commercial name" error="Alphanumeric size 120 characters exceeded" sqref="H21">
      <formula1>0</formula1>
      <formula2>120</formula2>
    </dataValidation>
    <dataValidation type="textLength" operator="between" allowBlank="true" showInputMessage="true" showErrorMessage="true" errorTitle="Orange Variant name" error="Alphanumeric size 120 characters exceeded" sqref="H22">
      <formula1>0</formula1>
      <formula2>240</formula2>
    </dataValidation>
    <dataValidation type="list" operator="between" allowBlank="true" showInputMessage="true" showErrorMessage="true" sqref="H23">
      <formula1>"ODM - OBD, ODM - Not OBD"</formula1>
    </dataValidation>
    <dataValidation type="list" operator="between" allowBlank="true" showInputMessage="true" showErrorMessage="true" sqref="H24">
      <formula1>"Flagship,Everyday Superphone,Essential Smartphone,Voice,Not applicable"</formula1>
    </dataValidation>
    <dataValidation type="list" operator="between" allowBlank="true" showInputMessage="true" showErrorMessage="true" sqref="H25">
      <formula1>"Essential Smartphone High,Essential Smartphone Entry,Not applicable"</formula1>
    </dataValidation>
    <dataValidation type="list" operator="between" allowBlank="true" showInputMessage="true" showErrorMessage="true" sqref="H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H29">
      <formula1>0</formula1>
      <formula2>50</formula2>
    </dataValidation>
    <dataValidation type="textLength" operator="between" allowBlank="true" showInputMessage="true" showErrorMessage="true" errorTitle="Hardware Platform ref name" error="Alphanumeric size 50 characters exceeded" sqref="H30">
      <formula1>0</formula1>
      <formula2>50</formula2>
    </dataValidation>
    <dataValidation type="list" operator="between" allowBlank="true" showInputMessage="true" showErrorMessage="true" sqref="H31">
      <formula1>='Listes deroulantes'!$U$2:$U$28</formula1>
    </dataValidation>
    <dataValidation type="list" operator="between" allowBlank="true" showInputMessage="true" showErrorMessage="true" sqref="H33">
      <formula1>"0,1,2,3,4,6,8,Others"</formula1>
    </dataValidation>
    <dataValidation type="list" operator="between" allowBlank="true" showInputMessage="true" showErrorMessage="true" sqref="H36">
      <formula1>"Android,BlackBerry,Firefox,iOS,iPadOS,KaiOS,Symbian,Tizen,Windows,Windows Phone,Proprietary,Other"</formula1>
    </dataValidation>
    <dataValidation type="textLength" operator="between" allowBlank="true" showInputMessage="true" showErrorMessage="true" errorTitle="Nb of OS Android patch upgrade" error="Integer size 2 characters exceeded" sqref="H38">
      <formula1>0</formula1>
      <formula2>2</formula2>
    </dataValidation>
    <dataValidation type="textLength" operator="between" allowBlank="true" showInputMessage="true" showErrorMessage="true" errorTitle="OS Android patch upgrade (years)" error="Integer size 2 characters exceeded" sqref="H39">
      <formula1>0</formula1>
      <formula2>2</formula2>
    </dataValidation>
    <dataValidation type="list" operator="between" allowBlank="true" showInputMessage="true" showErrorMessage="true" errorTitle="Frequency Android OS security" error="Value not allowed, select value from drop down menu" sqref="H40">
      <formula1>"Monthly,Quarterly,Half-yearly,Yearly"</formula1>
    </dataValidation>
    <dataValidation type="list" operator="between" allowBlank="true" showInputMessage="true" showErrorMessage="true" sqref="H42:H48">
      <formula1>"Yes,No"</formula1>
    </dataValidation>
    <dataValidation type="list" operator="between" allowBlank="true" showInputMessage="true" showErrorMessage="true" sqref="H49">
      <formula1>"FDD,TDD,FDD / TDD"</formula1>
    </dataValidation>
    <dataValidation type="list" operator="between" allowBlank="true" showInputMessage="true" showErrorMessage="true" sqref="H50:H51">
      <formula1>='Listes deroulantes'!$A$2:$A$32</formula1>
    </dataValidation>
    <dataValidation type="list" operator="between" allowBlank="true" showInputMessage="true" showErrorMessage="true" sqref="H52">
      <formula1>='Listes deroulantes'!$C$2:$C$23</formula1>
    </dataValidation>
    <dataValidation type="list" operator="between" allowBlank="true" showInputMessage="true" showErrorMessage="true" sqref="H53:H56">
      <formula1>"Yes,No"</formula1>
    </dataValidation>
    <dataValidation type="list" operator="between" allowBlank="true" showInputMessage="true" showErrorMessage="true" sqref="H57">
      <formula1>"No,2x2,4x4,4x2"</formula1>
    </dataValidation>
    <dataValidation type="list" operator="between" allowBlank="true" showInputMessage="true" showErrorMessage="true" sqref="H58">
      <formula1>"No,2x2"</formula1>
    </dataValidation>
    <dataValidation type="list" operator="between" allowBlank="true" showInputMessage="true" showErrorMessage="true" sqref="H59">
      <formula1>"No,2,3,4,5,6,7,8"</formula1>
    </dataValidation>
    <dataValidation type="list" operator="between" allowBlank="true" showInputMessage="true" showErrorMessage="true" sqref="H60">
      <formula1>='Listes deroulantes'!$G$2:$G$5</formula1>
    </dataValidation>
    <dataValidation type="list" operator="between" allowBlank="true" showInputMessage="true" showErrorMessage="true" sqref="H61">
      <formula1>='Listes deroulantes'!$I$2:$I$3</formula1>
    </dataValidation>
    <dataValidation type="list" operator="between" allowBlank="true" showInputMessage="true" showErrorMessage="true" sqref="H62">
      <formula1>='Listes deroulantes'!$K$2:$K$4</formula1>
    </dataValidation>
    <dataValidation type="list" operator="between" allowBlank="true" showInputMessage="true" showErrorMessage="true" sqref="H64:H83">
      <formula1>"Yes,No"</formula1>
    </dataValidation>
    <dataValidation type="list" operator="between" showInputMessage="true" showErrorMessage="true" sqref="H84:H86">
      <formula1>"Yes,No"</formula1>
      <formula2/>
    </dataValidation>
    <dataValidation type="list" operator="between" allowBlank="true" showInputMessage="true" showErrorMessage="true" sqref="H87">
      <formula1>"Yes,No"</formula1>
    </dataValidation>
    <dataValidation type="list" operator="between" showInputMessage="true" showErrorMessage="true" sqref="H88">
      <formula1>"Yes,No"</formula1>
      <formula2/>
    </dataValidation>
    <dataValidation type="list" operator="between" allowBlank="true" showInputMessage="true" showErrorMessage="true" sqref="H89">
      <formula1>"Yes,No"</formula1>
    </dataValidation>
    <dataValidation type="list" operator="between" showInputMessage="true" showErrorMessage="true" sqref="H90:H91">
      <formula1>"Yes,No"</formula1>
      <formula2/>
    </dataValidation>
    <dataValidation type="list" operator="between" allowBlank="true" showInputMessage="true" showErrorMessage="true" sqref="H92:H97">
      <formula1>"Yes,No"</formula1>
    </dataValidation>
    <dataValidation type="list" operator="between" allowBlank="true" showInputMessage="true" showErrorMessage="true" sqref="H98:H101">
      <formula1>='Listes deroulantes'!$I$2:$I$3</formula1>
    </dataValidation>
    <dataValidation type="decimal" operator="between" allowBlank="true" showInputMessage="true" showErrorMessage="true" errorTitle="Weight (g)" error="numeric format expected - for instance 999,99 maximum - or length characters exceeded" sqref="H103:H106">
      <formula1>0</formula1>
      <formula2>999.99</formula2>
    </dataValidation>
    <dataValidation type="list" operator="between" allowBlank="true" showInputMessage="true" showErrorMessage="true" sqref="H107">
      <formula1>"Bar,Messenger bar,Clamshell,Slide,Touch,Messenger/sliding touch,Other"</formula1>
    </dataValidation>
    <dataValidation type="list" operator="between" allowBlank="true" showInputMessage="true" showErrorMessage="true" sqref="H108:H109">
      <formula1>"Yes,No"</formula1>
    </dataValidation>
    <dataValidation type="list" operator="between" allowBlank="true" showInputMessage="true" showErrorMessage="true" sqref="H110">
      <formula1>"Hard AZERTY/QWERTY,Touch AZERTY/QWERTY,Hard 20 keys,Numeric keypad only	"</formula1>
    </dataValidation>
    <dataValidation type="list" operator="between" allowBlank="true" showInputMessage="true" showErrorMessage="true" sqref="H112">
      <formula1>"2m,1.8m,1.5m,1.2m,1.0m,&lt;1.0m"</formula1>
    </dataValidation>
    <dataValidation type="list" operator="between" allowBlank="true" showInputMessage="true" showErrorMessage="true" sqref="H113">
      <formula1>"IP52,IP54,IP57,IP58,IP64,IP67,IP68,Not known,Other"</formula1>
    </dataValidation>
    <dataValidation type="list" operator="between" allowBlank="true" showInputMessage="true" showErrorMessage="true" sqref="H114:H115">
      <formula1>"Yes,No"</formula1>
    </dataValidation>
    <dataValidation type="decimal" operator="between" allowBlank="true" showInputMessage="true" showErrorMessage="true" errorTitle="Screen size (in inches) diagonal" error="numeric format expected - for instance 99,99 - or length characters exceeded" sqref="H117">
      <formula1>0</formula1>
      <formula2>99.99</formula2>
    </dataValidation>
    <dataValidation type="whole" operator="between" allowBlank="true" showInputMessage="true" showErrorMessage="true" errorTitle="Width (px)" error="Integer size 4 expected or lenght characters exceeded" sqref="H118">
      <formula1>0</formula1>
      <formula2>9999</formula2>
    </dataValidation>
    <dataValidation type="whole" operator="between" allowBlank="true" showInputMessage="true" showErrorMessage="true" errorTitle="Height (px)" error="Integer size 4 expected or lenght characters exceeded" sqref="H119">
      <formula1>0</formula1>
      <formula2>9999</formula2>
    </dataValidation>
    <dataValidation type="list" operator="between" allowBlank="true" showInputMessage="true" showErrorMessage="true" sqref="H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H121">
      <formula1>0</formula1>
      <formula2>9999</formula2>
    </dataValidation>
    <dataValidation type="textLength" operator="between" allowBlank="true" showInputMessage="true" showErrorMessage="true" errorTitle="Contrast ratio" error="Expected length 0&lt;= value length &lt;51" sqref="H122">
      <formula1>0</formula1>
      <formula2>50</formula2>
    </dataValidation>
    <dataValidation type="textLength" operator="between" allowBlank="true" showInputMessage="true" showErrorMessage="true" errorTitle="Brightness (cd/m2)" error="Expected length 0&lt;= value length &lt;51" sqref="H123">
      <formula1>0</formula1>
      <formula2>50</formula2>
    </dataValidation>
    <dataValidation type="list" operator="between" allowBlank="true" showInputMessage="true" showErrorMessage="true" sqref="H124:H126">
      <formula1>"Yes,No"</formula1>
    </dataValidation>
    <dataValidation type="list" operator="between" allowBlank="true" showInputMessage="true" showErrorMessage="true" sqref="H128">
      <formula1>"Yes,No"</formula1>
    </dataValidation>
    <dataValidation type="list" operator="between" allowBlank="true" showInputMessage="true" showErrorMessage="true" sqref="H129">
      <formula1>"No,2,3,4,5,More"</formula1>
    </dataValidation>
    <dataValidation type="list" operator="between" allowBlank="true" showInputMessage="true" showErrorMessage="true" sqref="H130">
      <formula1>"No,2FF,3FF (MicroSIM),4FF (nano SIM),e-SIM,e-SIM or 4FF (nano SIM)"</formula1>
    </dataValidation>
    <dataValidation type="textLength" operator="between" allowBlank="true" showInputMessage="true" showErrorMessage="true" errorTitle="Wi-FI chipset name" error="Alphanumeric size 50 characters exceeded" sqref="H133">
      <formula1>0</formula1>
      <formula2>50</formula2>
    </dataValidation>
    <dataValidation type="list" operator="between" allowBlank="true" showInputMessage="true" showErrorMessage="true" sqref="H134:H148">
      <formula1>"Yes,No"</formula1>
    </dataValidation>
    <dataValidation type="textLength" operator="between" allowBlank="true" showInputMessage="true" showErrorMessage="true" errorTitle="Wi-FI chipset name" error="Alphanumeric size 50 characters exceeded" sqref="H149">
      <formula1>0</formula1>
      <formula2>50</formula2>
    </dataValidation>
    <dataValidation type="list" operator="between" allowBlank="true" showInputMessage="true" showErrorMessage="true" sqref="H150">
      <formula1>='Listes deroulantes'!$V$2:$V$16</formula1>
    </dataValidation>
    <dataValidation type="textLength" operator="between" allowBlank="true" showInputMessage="true" showErrorMessage="true" errorTitle="Bluetooth Profile" error="Alphanumeric size 100 characters exceeded" sqref="H151">
      <formula1>0</formula1>
      <formula2>100</formula2>
    </dataValidation>
    <dataValidation type="list" operator="between" allowBlank="true" showInputMessage="true" showErrorMessage="true" sqref="H152:H157">
      <formula1>"Yes,No"</formula1>
    </dataValidation>
    <dataValidation type="list" operator="between" allowBlank="true" showInputMessage="true" showErrorMessage="true" sqref="H158">
      <formula1>"No,A-GPS,GPS Standalone,GNSS"</formula1>
    </dataValidation>
    <dataValidation type="list" operator="between" allowBlank="true" showInputMessage="true" showErrorMessage="true" sqref="H159">
      <formula1>='Listes deroulantes'!$Q$2:$Q$10</formula1>
    </dataValidation>
    <dataValidation type="list" operator="between" allowBlank="true" showInputMessage="true" showErrorMessage="true" sqref="H160">
      <formula1>='Listes deroulantes'!$W$2:$W$9</formula1>
    </dataValidation>
    <dataValidation type="list" operator="between" allowBlank="true" showInputMessage="true" showErrorMessage="true" sqref="H161:H166">
      <formula1>"Yes,No"</formula1>
    </dataValidation>
    <dataValidation type="list" operator="between" allowBlank="true" showInputMessage="true" showErrorMessage="true" sqref="H168:H172">
      <formula1>"Yes,No"</formula1>
    </dataValidation>
    <dataValidation type="whole" operator="between" allowBlank="true" showInputMessage="true" showErrorMessage="true" errorTitle="Battery capacity (mAh)" error="Integer size 5 expected or lenght characters exceeded" sqref="H176">
      <formula1>0</formula1>
      <formula2>99999</formula2>
    </dataValidation>
    <dataValidation type="list" operator="between" allowBlank="true" showInputMessage="true" showErrorMessage="true" sqref="H177">
      <formula1>"Li-Ion,Li-Poly,Li-Ion-Poly,Li-Technology,NiMH"</formula1>
    </dataValidation>
    <dataValidation type="list" operator="between" allowBlank="true" showInputMessage="true" showErrorMessage="true" sqref="H178">
      <formula1>"Yes,No"</formula1>
    </dataValidation>
    <dataValidation type="list" operator="between" allowBlank="true" showInputMessage="true" showErrorMessage="true" sqref="H179:H180">
      <formula1>"No,Qi,Other"</formula1>
    </dataValidation>
    <dataValidation type="list" operator="between" allowBlank="true" showInputMessage="true" showErrorMessage="true" sqref="H182">
      <formula1>"2TB,1TB,512GB,256GB,128GB,64GB,32GB,16GB,8GB,4GB,2GB,1GB,512MB,256MB,128MB"</formula1>
    </dataValidation>
    <dataValidation type="list" operator="between" allowBlank="true" showInputMessage="true" showErrorMessage="true" sqref="H183:H186">
      <formula1>"Yes,No"</formula1>
    </dataValidation>
    <dataValidation type="list" operator="between" allowBlank="true" showErrorMessage="true" sqref="H187">
      <formula1>='Listes deroulantes'!$S$2:$S$28</formula1>
    </dataValidation>
    <dataValidation type="list" operator="between" allowBlank="true" showInputMessage="true" showErrorMessage="true" sqref="H189:H198">
      <formula1>"Yes,No"</formula1>
    </dataValidation>
    <dataValidation type="list" operator="between" allowBlank="true" showInputMessage="true" showErrorMessage="true" sqref="H200:H202">
      <formula1>"Yes,No"</formula1>
    </dataValidation>
    <dataValidation type="list" operator="between" allowBlank="true" showInputMessage="true" showErrorMessage="true" sqref="H203">
      <formula1>"No,Picture Basic,Picture Rich,Video Basic,Video Rich,Megapixel,"</formula1>
    </dataValidation>
    <dataValidation type="list" operator="between" allowBlank="true" showInputMessage="true" showErrorMessage="true" sqref="H204">
      <formula1>"600 kB,300 kB,100 kB,30 kB"</formula1>
    </dataValidation>
    <dataValidation type="list" operator="between" allowBlank="true" showInputMessage="true" showErrorMessage="true" sqref="H205">
      <formula1>"No,Android Messages,OEM native messenger"</formula1>
    </dataValidation>
    <dataValidation type="list" operator="between" allowBlank="true" showInputMessage="true" showErrorMessage="true" sqref="H207">
      <formula1>"No,Integrated,Integrated AND Autofocus"</formula1>
    </dataValidation>
    <dataValidation type="list" operator="between" allowBlank="true" showInputMessage="true" showErrorMessage="true" sqref="H208">
      <formula1>"1,2,3,4,5"</formula1>
    </dataValidation>
    <dataValidation type="decimal" operator="between" allowBlank="true" showInputMessage="true" showErrorMessage="true" errorTitle="Main Camera1 resolution (Mpx)" error="numeric format expected - for instance 999,99 - or length characters exceeded" sqref="H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H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H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H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H213">
      <formula1>0</formula1>
      <formula2>999.99</formula2>
    </dataValidation>
    <dataValidation type="list" operator="between" allowBlank="true" showInputMessage="true" showErrorMessage="true" sqref="H214:H215">
      <formula1>"Yes,No"</formula1>
    </dataValidation>
    <dataValidation type="textLength" operator="between" allowBlank="true" showInputMessage="true" showErrorMessage="true" errorTitle="Main Camera comments" error="Alphanumeric size 500 characters exceeded" sqref="H216">
      <formula1>0</formula1>
      <formula2>500</formula2>
    </dataValidation>
    <dataValidation type="textLength" operator="between" allowBlank="true" showInputMessage="true" showErrorMessage="true" errorTitle="Main Camera Features" error="Alphanumeric size 500 characters exceeded" sqref="H217">
      <formula1>0</formula1>
      <formula2>500</formula2>
    </dataValidation>
    <dataValidation type="textLength" operator="between" allowBlank="true" showInputMessage="true" showErrorMessage="true" errorTitle="Main Camera video" error="Alphanumeric size 500 characters exceeded" sqref="H218">
      <formula1>0</formula1>
      <formula2>500</formula2>
    </dataValidation>
    <dataValidation type="list" operator="between" allowBlank="true" showInputMessage="true" showErrorMessage="true" sqref="H219">
      <formula1>"f/0.30,f/0.60,f/0.70,f/0.75,f/0.80,f/0.85,f/0.90,f/0.95,f/1.0,f/1.1,f/1.2,f/1.3,f/1.4,f/1.5,f/1.6,f/1.7,f/1.8,f/1.9,f/2.0,f/2.1,f/2.2,f/2.3,f/2.4,f/2.5,f/2.8,f/2.9,f/3.0"</formula1>
    </dataValidation>
    <dataValidation type="list" operator="between" allowBlank="true" showInputMessage="true" showErrorMessage="true" sqref="H220">
      <formula1>"Yes,No"</formula1>
    </dataValidation>
    <dataValidation type="list" operator="between" allowBlank="true" showInputMessage="true" showErrorMessage="true" sqref="H221">
      <formula1>"No,LED,2 LED,Xenon,Other"</formula1>
    </dataValidation>
    <dataValidation type="list" operator="between" allowBlank="true" showInputMessage="true" showErrorMessage="true" sqref="H223">
      <formula1>"No,Integrated,Integrated AND Autofocus"</formula1>
    </dataValidation>
    <dataValidation type="list" operator="between" allowBlank="true" showInputMessage="true" showErrorMessage="true" sqref="H224">
      <formula1>"1,2"</formula1>
    </dataValidation>
    <dataValidation type="decimal" operator="between" allowBlank="true" showInputMessage="true" showErrorMessage="true" errorTitle="Selfie Camera1 resolution (Mpx)" error="numeric format expected - for instance 999,99 - or length characters exceeded" sqref="H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H226">
      <formula1>0</formula1>
      <formula2>999.99</formula2>
    </dataValidation>
    <dataValidation type="list" operator="between" allowBlank="true" showInputMessage="true" showErrorMessage="true" sqref="H227:H228">
      <formula1>"Yes,No"</formula1>
    </dataValidation>
    <dataValidation type="textLength" operator="between" allowBlank="true" showInputMessage="true" showErrorMessage="true" errorTitle="Selfie Camera comments" error="Alphanumeric size 500 characters exceeded" sqref="H229">
      <formula1>0</formula1>
      <formula2>500</formula2>
    </dataValidation>
    <dataValidation type="textLength" operator="between" allowBlank="true" showInputMessage="true" showErrorMessage="true" errorTitle="Selfie Camera Features" error="Alphanumeric size 500 characters exceeded" sqref="H230">
      <formula1>0</formula1>
      <formula2>500</formula2>
    </dataValidation>
    <dataValidation type="textLength" operator="between" allowBlank="true" showInputMessage="true" showErrorMessage="true" errorTitle="Selfie Camera video" error="Alphanumeric size 500 characters exceeded" sqref="H231">
      <formula1>0</formula1>
      <formula2>500</formula2>
    </dataValidation>
    <dataValidation type="list" operator="between" allowBlank="true" showInputMessage="true" showErrorMessage="true" sqref="H233:H239">
      <formula1>"Yes,No"</formula1>
    </dataValidation>
    <dataValidation type="list" operator="between" allowBlank="true" showInputMessage="true" showErrorMessage="true" sqref="H241">
      <formula1>"Yes,No"</formula1>
    </dataValidation>
    <dataValidation type="list" operator="between" allowBlank="true" showInputMessage="true" showErrorMessage="true" sqref="H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H244">
      <formula1>0</formula1>
      <formula2>9.99</formula2>
    </dataValidation>
    <dataValidation type="decimal" operator="between" allowBlank="true" showInputMessage="true" showErrorMessage="true" errorTitle="SAR head (Watt/kg)" error="numeric format expected - for instance 9,999 - or length characters exceeded" sqref="H245:H246">
      <formula1>0</formula1>
      <formula2>9.99</formula2>
    </dataValidation>
    <dataValidation type="decimal" operator="between" allowBlank="true" showInputMessage="true" showErrorMessage="true" errorTitle="Production value (kg CO2eq) " error="Numeric expected with max size 99,99" sqref="H249">
      <formula1>0</formula1>
      <formula2>99.99</formula2>
    </dataValidation>
    <dataValidation type="decimal" operator="between" allowBlank="true" showInputMessage="true" showErrorMessage="true" errorTitle="Transportation value (kg CO2eq)" error="Numeric expected with max size 99,99" sqref="H250">
      <formula1>0</formula1>
      <formula2>99.99</formula2>
    </dataValidation>
    <dataValidation type="list" operator="between" allowBlank="true" showInputMessage="true" showErrorMessage="true" error="Integer expected with max size 100" sqref="H252">
      <formula1>"R02,R03,R04,R05"</formula1>
    </dataValidation>
    <dataValidation type="decimal" operator="between" allowBlank="true" showInputMessage="true" showErrorMessage="true" errorTitle="Production value (kg CO2eq) " error="Numeric expected with max size 99,99" sqref="H253">
      <formula1>0</formula1>
      <formula2>99.99</formula2>
    </dataValidation>
    <dataValidation type="decimal" operator="between" allowBlank="true" showInputMessage="true" showErrorMessage="true" errorTitle="Adjustment for memory variant" error="-101&lt;Value expected&lt;101" sqref="H254">
      <formula1>-100.99</formula1>
      <formula2>100.99</formula2>
    </dataValidation>
    <dataValidation type="decimal" operator="between" allowBlank="true" showInputMessage="true" showErrorMessage="true" errorTitle="Transportation value (kg CO2eq)" error="Numeric expected with max size 99,99" sqref="H255">
      <formula1>0</formula1>
      <formula2>99.99</formula2>
    </dataValidation>
    <dataValidation type="decimal" operator="between" allowBlank="true" showInputMessage="true" showErrorMessage="true" errorTitle="Production value (kg CO2eq) " error="Numeric expected with max size 99,99" sqref="H257">
      <formula1>0</formula1>
      <formula2>99.99</formula2>
    </dataValidation>
    <dataValidation type="decimal" operator="between" allowBlank="true" showInputMessage="true" showErrorMessage="true" errorTitle="Adjustment for memory variant" error="-101&lt;Value expected&lt;101" sqref="H258">
      <formula1>-100.99</formula1>
      <formula2>100.99</formula2>
    </dataValidation>
    <dataValidation type="decimal" operator="between" allowBlank="true" showInputMessage="true" showErrorMessage="true" errorTitle="Transportation value (kg CO2eq)" error="Numeric expected with max size 99,99" sqref="H259">
      <formula1>0</formula1>
      <formula2>99.99</formula2>
    </dataValidation>
    <dataValidation type="list" operator="between" allowBlank="true" showInputMessage="true" showErrorMessage="true" sqref="H260">
      <formula1>"World,EU,MEA"</formula1>
    </dataValidation>
    <dataValidation type="whole" operator="between" allowBlank="true" showInputMessage="true" showErrorMessage="true" error="Integer expected with max size 100" sqref="H265">
      <formula1>43101</formula1>
      <formula2>54788</formula2>
    </dataValidation>
    <dataValidation type="decimal" operator="between" allowBlank="true" showInputMessage="true" showErrorMessage="true" error="Numeric range expected from 0,00 to 999,99" sqref="H266">
      <formula1>0</formula1>
      <formula2>999.99</formula2>
    </dataValidation>
    <dataValidation type="date" operator="between" allowBlank="true" showInputMessage="true" showErrorMessage="true" error="Integer expected with max size 100" sqref="H267">
      <formula1>43101</formula1>
      <formula2>54788</formula2>
    </dataValidation>
    <dataValidation type="decimal" operator="between" allowBlank="true" showInputMessage="true" showErrorMessage="true" error="Numeric range expected from 0,00 to 999,99" sqref="H268">
      <formula1>0</formula1>
      <formula2>999.99</formula2>
    </dataValidation>
    <dataValidation type="whole" operator="between" allowBlank="true" showInputMessage="true" showErrorMessage="true" error="Integer expected with max size 100" sqref="H272">
      <formula1>43101</formula1>
      <formula2>54788</formula2>
    </dataValidation>
    <dataValidation type="decimal" operator="between" allowBlank="true" showInputMessage="true" showErrorMessage="true" error="Numeric range expected from 0,00 to 999,99" sqref="H273">
      <formula1>0</formula1>
      <formula2>999.99</formula2>
    </dataValidation>
    <dataValidation type="date" operator="between" allowBlank="true" showInputMessage="true" showErrorMessage="true" error="Integer expected with max size 100" sqref="H274">
      <formula1>43101</formula1>
      <formula2>54788</formula2>
    </dataValidation>
    <dataValidation type="decimal" operator="between" allowBlank="true" showInputMessage="true" showErrorMessage="true" error="Numeric range expected from 0,00 to 999,99" sqref="H275">
      <formula1>0</formula1>
      <formula2>999.99</formula2>
    </dataValidation>
    <dataValidation type="whole" operator="between" allowBlank="true" showInputMessage="true" showErrorMessage="true" error="Integer expected with max size 100" sqref="H279">
      <formula1>43101</formula1>
      <formula2>54788</formula2>
    </dataValidation>
    <dataValidation type="decimal" operator="between" allowBlank="true" showInputMessage="true" showErrorMessage="true" error="Numeric range expected from 0,00 to 999,99" sqref="H280">
      <formula1>0</formula1>
      <formula2>999.99</formula2>
    </dataValidation>
    <dataValidation type="date" operator="between" allowBlank="true" showInputMessage="true" showErrorMessage="true" error="Integer expected with max size 100" sqref="H281">
      <formula1>43101</formula1>
      <formula2>54788</formula2>
    </dataValidation>
    <dataValidation type="decimal" operator="between" allowBlank="true" showInputMessage="true" showErrorMessage="true" error="Numeric range expected from 0,00 to 999,99" sqref="H282">
      <formula1>0</formula1>
      <formula2>999.99</formula2>
    </dataValidation>
    <dataValidation type="textLength" errorStyle="stop" operator="between" allowBlank="true" showDropDown="false" showInputMessage="true" showErrorMessage="true" prompt="" sqref="I2">
      <formula1>1</formula1>
      <formula2>10000</formula2>
    </dataValidation>
    <dataValidation type="list" operator="between" allowBlank="true" showInputMessage="true" showErrorMessage="true" sqref="I6">
      <formula1>"Mobile,Tablet"</formula1>
    </dataValidation>
    <dataValidation type="textLength" operator="between" allowBlank="true" showInputMessage="true" showErrorMessage="true" errorTitle="Brand name" error="Alphanumeric size from 3 to 50 characters" sqref="I7">
      <formula1>3</formula1>
      <formula2>50</formula2>
    </dataValidation>
    <dataValidation type="textLength" operator="between" allowBlank="true" showInputMessage="true" showErrorMessage="true" errorTitle="GCF Model name" error="Alphanumeric size 64 characters exceeded" sqref="I8">
      <formula1>0</formula1>
      <formula2>64</formula2>
    </dataValidation>
    <dataValidation type="textLength" operator="between" allowBlank="true" showInputMessage="true" showErrorMessage="true" errorTitle="Comments" error="Alphanumeric size 2000 characters exceeded" sqref="I9">
      <formula1>0</formula1>
      <formula2>2000</formula2>
    </dataValidation>
    <dataValidation type="date" operator="between" allowBlank="true" showErrorMessage="true" errorTitle="Marketing samples availability" error="Date expected" sqref="I10">
      <formula1>43101</formula1>
      <formula2>54788</formula2>
    </dataValidation>
    <dataValidation type="date" operator="between" allowBlank="true" showErrorMessage="true" errorTitle="Technical samples availability" error="Date expected" sqref="I11">
      <formula1>43101</formula1>
      <formula2>54788</formula2>
    </dataValidation>
    <dataValidation type="date" operator="between" allowBlank="true" showErrorMessage="true" errorTitle="Expected Generic Street Launch" error="Date expected" sqref="I12">
      <formula1>43101</formula1>
      <formula2>54788</formula2>
    </dataValidation>
    <dataValidation type="date" operator="between" allowBlank="true" showErrorMessage="true" errorTitle="Expected availability warehouse" error="Date expected" sqref="I13">
      <formula1>43101</formula1>
      <formula2>54788</formula2>
    </dataValidation>
    <dataValidation type="date" operator="between" allowBlank="true" showErrorMessage="true" errorTitle="GCF date" error="Date expected" sqref="I14:I15">
      <formula1>43101</formula1>
      <formula2>54788</formula2>
    </dataValidation>
    <dataValidation type="date" operator="between" allowBlank="true" showErrorMessage="true" errorTitle="Wi-Fi alliance date" error="Date expected" sqref="I16">
      <formula1>43101</formula1>
      <formula2>54788</formula2>
    </dataValidation>
    <dataValidation type="list" operator="between" allowBlank="true" showInputMessage="true" showErrorMessage="true" sqref="I17">
      <formula1>"Flagship,Everyday Superphone,Essential Smartphone,Voice,Not applicable"</formula1>
    </dataValidation>
    <dataValidation type="decimal" operator="between" allowBlank="true" showInputMessage="true" showErrorMessage="true" errorTitle="Repairability index" error="Numeric expected with max size 10,00" sqref="I18">
      <formula1>0</formula1>
      <formula2>10</formula2>
    </dataValidation>
    <dataValidation type="textLength" operator="between" allowBlank="true" showInputMessage="true" showErrorMessage="true" errorTitle="Comments" error="Alphanumeric size 2000 characters exceeded" sqref="I19">
      <formula1>0</formula1>
      <formula2>2000</formula2>
    </dataValidation>
    <dataValidation type="textLength" operator="between" allowBlank="true" showInputMessage="true" showErrorMessage="true" errorTitle="Commercial name" error="Alphanumeric size 120 characters exceeded" sqref="I21">
      <formula1>0</formula1>
      <formula2>120</formula2>
    </dataValidation>
    <dataValidation type="textLength" operator="between" allowBlank="true" showInputMessage="true" showErrorMessage="true" errorTitle="Orange Variant name" error="Alphanumeric size 120 characters exceeded" sqref="I22">
      <formula1>0</formula1>
      <formula2>240</formula2>
    </dataValidation>
    <dataValidation type="list" operator="between" allowBlank="true" showInputMessage="true" showErrorMessage="true" sqref="I23">
      <formula1>"ODM - OBD, ODM - Not OBD"</formula1>
    </dataValidation>
    <dataValidation type="list" operator="between" allowBlank="true" showInputMessage="true" showErrorMessage="true" sqref="I24">
      <formula1>"Flagship,Everyday Superphone,Essential Smartphone,Voice,Not applicable"</formula1>
    </dataValidation>
    <dataValidation type="list" operator="between" allowBlank="true" showInputMessage="true" showErrorMessage="true" sqref="I25">
      <formula1>"Essential Smartphone High,Essential Smartphone Entry,Not applicable"</formula1>
    </dataValidation>
    <dataValidation type="list" operator="between" allowBlank="true" showInputMessage="true" showErrorMessage="true" sqref="I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I29">
      <formula1>0</formula1>
      <formula2>50</formula2>
    </dataValidation>
    <dataValidation type="textLength" operator="between" allowBlank="true" showInputMessage="true" showErrorMessage="true" errorTitle="Hardware Platform ref name" error="Alphanumeric size 50 characters exceeded" sqref="I30">
      <formula1>0</formula1>
      <formula2>50</formula2>
    </dataValidation>
    <dataValidation type="list" operator="between" allowBlank="true" showInputMessage="true" showErrorMessage="true" sqref="I31">
      <formula1>='Listes deroulantes'!$U$2:$U$28</formula1>
    </dataValidation>
    <dataValidation type="textLength" operator="between" allowBlank="true" showInputMessage="true" showErrorMessage="true" errorTitle="Baseband chipset name" error="Alphanumeric size 50 characters exceeded" sqref="I32">
      <formula1>0</formula1>
      <formula2>50</formula2>
    </dataValidation>
    <dataValidation type="list" operator="between" allowBlank="true" showInputMessage="true" showErrorMessage="true" sqref="I33">
      <formula1>"0,1,2,3,4,6,8,Others"</formula1>
    </dataValidation>
    <dataValidation type="list" operator="between" allowBlank="true" showInputMessage="true" showErrorMessage="true" sqref="I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I37">
      <formula1>0</formula1>
      <formula2>10</formula2>
    </dataValidation>
    <dataValidation type="textLength" operator="between" allowBlank="true" showInputMessage="true" showErrorMessage="true" errorTitle="Nb of OS Android patch upgrade" error="Integer size 2 characters exceeded" sqref="I38">
      <formula1>0</formula1>
      <formula2>2</formula2>
    </dataValidation>
    <dataValidation type="textLength" operator="between" allowBlank="true" showInputMessage="true" showErrorMessage="true" errorTitle="OS Android patch upgrade (years)" error="Integer size 2 characters exceeded" sqref="I39">
      <formula1>0</formula1>
      <formula2>2</formula2>
    </dataValidation>
    <dataValidation type="list" operator="between" allowBlank="true" showInputMessage="true" showErrorMessage="true" errorTitle="Frequency Android OS security" error="Value not allowed, select value from drop down menu" sqref="I40">
      <formula1>"Monthly,Quarterly,Half-yearly,Yearly"</formula1>
    </dataValidation>
    <dataValidation type="list" operator="between" allowBlank="true" showInputMessage="true" showErrorMessage="true" sqref="I42:I48">
      <formula1>"Yes,No"</formula1>
    </dataValidation>
    <dataValidation type="list" operator="between" allowBlank="true" showInputMessage="true" showErrorMessage="true" sqref="I49">
      <formula1>"FDD,TDD,FDD / TDD"</formula1>
    </dataValidation>
    <dataValidation type="list" operator="between" allowBlank="true" showInputMessage="true" showErrorMessage="true" sqref="I50">
      <formula1>='Listes deroulantes'!$A$2:$A$32</formula1>
    </dataValidation>
    <dataValidation type="list" operator="between" allowBlank="true" showInputMessage="true" showErrorMessage="true" sqref="I51">
      <formula1>='Listes deroulantes'!$E$2:$E$26</formula1>
    </dataValidation>
    <dataValidation type="list" operator="between" allowBlank="true" showInputMessage="true" showErrorMessage="true" sqref="I52">
      <formula1>='Listes deroulantes'!$C$2:$C$23</formula1>
    </dataValidation>
    <dataValidation type="list" operator="between" allowBlank="true" showInputMessage="true" showErrorMessage="true" sqref="I53:I56">
      <formula1>"Yes,No"</formula1>
    </dataValidation>
    <dataValidation type="textLength" errorStyle="stop" operator="between" allowBlank="true" showDropDown="false" showInputMessage="true" showErrorMessage="true" prompt="" sqref="I57">
      <formula1>1</formula1>
      <formula2>10000</formula2>
    </dataValidation>
    <dataValidation type="list" operator="between" allowBlank="true" showInputMessage="true" showErrorMessage="true" sqref="I58">
      <formula1>"No,2x2"</formula1>
    </dataValidation>
    <dataValidation type="textLength" errorStyle="stop" operator="between" allowBlank="true" showDropDown="false" showInputMessage="true" showErrorMessage="true" prompt="" sqref="I59">
      <formula1>1</formula1>
      <formula2>10000</formula2>
    </dataValidation>
    <dataValidation type="list" operator="between" allowBlank="true" showInputMessage="true" showErrorMessage="true" sqref="I60">
      <formula1>='Listes deroulantes'!$G$2:$G$5</formula1>
    </dataValidation>
    <dataValidation type="list" operator="between" allowBlank="true" showInputMessage="true" showErrorMessage="true" sqref="I61">
      <formula1>='Listes deroulantes'!$I$2:$I$3</formula1>
    </dataValidation>
    <dataValidation type="list" operator="between" allowBlank="true" showInputMessage="true" showErrorMessage="true" sqref="I62">
      <formula1>='Listes deroulantes'!$K$2:$K$4</formula1>
    </dataValidation>
    <dataValidation type="list" operator="between" allowBlank="true" showInputMessage="true" showErrorMessage="true" sqref="I64:I97">
      <formula1>"Yes,No"</formula1>
    </dataValidation>
    <dataValidation type="list" operator="between" allowBlank="true" showInputMessage="true" showErrorMessage="true" sqref="I98:I99">
      <formula1>='Listes deroulantes'!$I$2:$I$3</formula1>
    </dataValidation>
    <dataValidation type="list" operator="between" allowBlank="true" showInputMessage="true" showErrorMessage="true" sqref="I100">
      <formula1>='Listes deroulantes'!$M$2:$M$18</formula1>
    </dataValidation>
    <dataValidation type="list" operator="between" allowBlank="true" showInputMessage="true" showErrorMessage="true" sqref="I101">
      <formula1>='Listes deroulantes'!$O$2:$O$4</formula1>
    </dataValidation>
    <dataValidation type="decimal" operator="between" allowBlank="true" showInputMessage="true" showErrorMessage="true" errorTitle="Weight (g)" error="numeric format expected - for instance 999,99 maximum - or length characters exceeded" sqref="I103:I106">
      <formula1>0</formula1>
      <formula2>999.99</formula2>
    </dataValidation>
    <dataValidation type="list" operator="between" allowBlank="true" showInputMessage="true" showErrorMessage="true" sqref="I107">
      <formula1>"Bar,Messenger bar,Clamshell,Slide,Touch,Messenger/sliding touch,Other"</formula1>
    </dataValidation>
    <dataValidation type="textLength" operator="between" allowBlank="true" showInputMessage="true" showErrorMessage="true" errorTitle="GCF Model name" error="Alphanumeric size 64 characters exceeded" sqref="I108">
      <formula1>0</formula1>
      <formula2>64</formula2>
    </dataValidation>
    <dataValidation type="list" operator="between" allowBlank="true" showInputMessage="true" showErrorMessage="true" sqref="I109">
      <formula1>"Yes,No"</formula1>
    </dataValidation>
    <dataValidation type="list" operator="between" allowBlank="true" showInputMessage="true" showErrorMessage="true" sqref="I110">
      <formula1>"Hard AZERTY/QWERTY,Touch AZERTY/QWERTY,Hard 20 keys,Numeric keypad only	"</formula1>
    </dataValidation>
    <dataValidation type="list" operator="between" allowBlank="true" showInputMessage="true" showErrorMessage="true" sqref="I111">
      <formula1>"Yes,No"</formula1>
    </dataValidation>
    <dataValidation type="textLength" operator="between" allowBlank="true" showInputMessage="true" showErrorMessage="true" errorTitle="GCF Model name" error="Alphanumeric size 64 characters exceeded" sqref="I113">
      <formula1>0</formula1>
      <formula2>64</formula2>
    </dataValidation>
    <dataValidation type="list" operator="between" allowBlank="true" showInputMessage="true" showErrorMessage="true" sqref="I114:I115">
      <formula1>"Yes,No"</formula1>
    </dataValidation>
    <dataValidation type="decimal" operator="between" allowBlank="true" showInputMessage="true" showErrorMessage="true" errorTitle="Screen size (in inches) diagonal" error="numeric format expected - for instance 99,99 - or length characters exceeded" sqref="I117">
      <formula1>0</formula1>
      <formula2>99.99</formula2>
    </dataValidation>
    <dataValidation type="whole" operator="between" allowBlank="true" showInputMessage="true" showErrorMessage="true" errorTitle="Width (px)" error="Integer size 4 expected or lenght characters exceeded" sqref="I118">
      <formula1>0</formula1>
      <formula2>9999</formula2>
    </dataValidation>
    <dataValidation type="whole" operator="between" allowBlank="true" showInputMessage="true" showErrorMessage="true" errorTitle="Height (px)" error="Integer size 4 expected or lenght characters exceeded" sqref="I119">
      <formula1>0</formula1>
      <formula2>9999</formula2>
    </dataValidation>
    <dataValidation type="list" operator="between" allowBlank="true" showInputMessage="true" showErrorMessage="true" sqref="I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I121">
      <formula1>0</formula1>
      <formula2>9999</formula2>
    </dataValidation>
    <dataValidation type="textLength" operator="between" allowBlank="true" showInputMessage="true" showErrorMessage="true" errorTitle="Contrast ratio" error="Expected length 0&lt;= value length &lt;51" sqref="I122">
      <formula1>0</formula1>
      <formula2>50</formula2>
    </dataValidation>
    <dataValidation type="textLength" operator="between" allowBlank="true" showInputMessage="true" showErrorMessage="true" errorTitle="Brightness (cd/m2)" error="Expected length 0&lt;= value length &lt;51" sqref="I123">
      <formula1>0</formula1>
      <formula2>50</formula2>
    </dataValidation>
    <dataValidation type="textLength" operator="between" allowBlank="true" showInputMessage="true" showErrorMessage="true" errorTitle="GCF Model name" error="Alphanumeric size 64 characters exceeded" sqref="I124">
      <formula1>0</formula1>
      <formula2>64</formula2>
    </dataValidation>
    <dataValidation type="textLength" errorStyle="stop" operator="between" allowBlank="true" showDropDown="false" showInputMessage="true" showErrorMessage="true" prompt="" sqref="I125:I126">
      <formula1>1</formula1>
      <formula2>10000</formula2>
    </dataValidation>
    <dataValidation type="list" operator="between" allowBlank="true" showInputMessage="true" showErrorMessage="true" sqref="I128">
      <formula1>"Yes,No"</formula1>
    </dataValidation>
    <dataValidation type="list" operator="between" allowBlank="true" showInputMessage="true" showErrorMessage="true" sqref="I129">
      <formula1>"No,2,3,4,5,More"</formula1>
    </dataValidation>
    <dataValidation type="list" operator="between" allowBlank="true" showInputMessage="true" showErrorMessage="true" sqref="I130">
      <formula1>"No,2FF,3FF (MicroSIM),4FF (nano SIM),e-SIM,e-SIM or 4FF (nano SIM)"</formula1>
    </dataValidation>
    <dataValidation type="list" operator="between" allowBlank="true" showInputMessage="true" showErrorMessage="true" sqref="I132">
      <formula1>='Listes deroulantes'!$U$2:$U$28</formula1>
    </dataValidation>
    <dataValidation type="textLength" errorStyle="stop" operator="between" allowBlank="true" showDropDown="false" showInputMessage="true" showErrorMessage="true" prompt="" sqref="I133">
      <formula1>1</formula1>
      <formula2>10000</formula2>
    </dataValidation>
    <dataValidation type="list" operator="between" allowBlank="true" showInputMessage="true" showErrorMessage="true" sqref="I134:I140">
      <formula1>"Yes,No"</formula1>
    </dataValidation>
    <dataValidation type="textLength" errorStyle="stop" operator="between" allowBlank="true" showDropDown="false" showInputMessage="true" showErrorMessage="true" prompt="" sqref="I141">
      <formula1>1</formula1>
      <formula2>10000</formula2>
    </dataValidation>
    <dataValidation type="list" operator="between" allowBlank="true" showInputMessage="true" showErrorMessage="true" sqref="I142:I147">
      <formula1>"Yes,No"</formula1>
    </dataValidation>
    <dataValidation type="list" operator="between" allowBlank="true" showInputMessage="true" showErrorMessage="true" sqref="I149">
      <formula1>"2x2,4x4,6x6,8x8"</formula1>
    </dataValidation>
    <dataValidation type="list" operator="between" allowBlank="true" showInputMessage="true" showErrorMessage="true" sqref="I150">
      <formula1>='Listes deroulantes'!$V$2:$V$16</formula1>
    </dataValidation>
    <dataValidation type="textLength" operator="between" allowBlank="true" showInputMessage="true" showErrorMessage="true" errorTitle="Bluetooth Profile" error="Alphanumeric size 100 characters exceeded" sqref="I151">
      <formula1>0</formula1>
      <formula2>100</formula2>
    </dataValidation>
    <dataValidation type="list" operator="between" allowBlank="true" showInputMessage="true" showErrorMessage="true" sqref="I152:I154">
      <formula1>"Yes,No"</formula1>
    </dataValidation>
    <dataValidation type="list" operator="between" allowBlank="true" showInputMessage="true" showErrorMessage="true" sqref="I158">
      <formula1>"No,A-GPS,GPS Standalone,GNSS"</formula1>
    </dataValidation>
    <dataValidation type="list" operator="between" allowBlank="true" showInputMessage="true" showErrorMessage="true" sqref="I159">
      <formula1>='Listes deroulantes'!$Q$2:$Q$10</formula1>
    </dataValidation>
    <dataValidation type="list" operator="between" allowBlank="true" showInputMessage="true" showErrorMessage="true" sqref="I160">
      <formula1>='Listes deroulantes'!$W$2:$W$9</formula1>
    </dataValidation>
    <dataValidation type="list" operator="between" allowBlank="true" showInputMessage="true" showErrorMessage="true" sqref="I161:I166">
      <formula1>"Yes,No"</formula1>
    </dataValidation>
    <dataValidation type="list" operator="between" allowBlank="true" showInputMessage="true" showErrorMessage="true" sqref="I168:I172">
      <formula1>"Yes,No"</formula1>
    </dataValidation>
    <dataValidation type="whole" operator="between" allowBlank="true" showInputMessage="true" showErrorMessage="true" errorTitle="Battery capacity (mAh)" error="Integer size 5 expected or lenght characters exceeded" sqref="I176">
      <formula1>0</formula1>
      <formula2>99999</formula2>
    </dataValidation>
    <dataValidation type="list" operator="between" allowBlank="true" showInputMessage="true" showErrorMessage="true" sqref="I177">
      <formula1>"Li-Ion,Li-Poly,Li-Ion-Poly,Li-Technology,NiMH"</formula1>
    </dataValidation>
    <dataValidation type="textLength" operator="between" allowBlank="true" showInputMessage="true" showErrorMessage="true" errorTitle="GCF Model name" error="Alphanumeric size 64 characters exceeded" sqref="I178">
      <formula1>0</formula1>
      <formula2>64</formula2>
    </dataValidation>
    <dataValidation type="list" operator="between" allowBlank="true" showInputMessage="true" showErrorMessage="true" sqref="I179">
      <formula1>"No,Qi,Other"</formula1>
    </dataValidation>
    <dataValidation type="list" operator="between" allowBlank="true" showInputMessage="true" showErrorMessage="true" sqref="I180">
      <formula1>"No,Pump Express,Quick Charge 2.0,Other"</formula1>
    </dataValidation>
    <dataValidation type="list" operator="between" allowBlank="true" showInputMessage="true" showErrorMessage="true" sqref="I182">
      <formula1>"2TB,1TB,512GB,256GB,128GB,64GB,32GB,16GB,8GB,4GB,2GB,1GB,512MB,256MB,128MB"</formula1>
    </dataValidation>
    <dataValidation type="list" operator="between" allowBlank="true" showInputMessage="true" showErrorMessage="true" sqref="I183:I186">
      <formula1>"Yes,No"</formula1>
    </dataValidation>
    <dataValidation type="list" operator="between" allowBlank="true" showErrorMessage="true" sqref="I187">
      <formula1>='Listes deroulantes'!$S$2:$S$28</formula1>
    </dataValidation>
    <dataValidation type="list" operator="between" allowBlank="true" showInputMessage="true" showErrorMessage="true" sqref="I189:I198">
      <formula1>"Yes,No"</formula1>
    </dataValidation>
    <dataValidation type="list" operator="between" allowBlank="true" showInputMessage="true" showErrorMessage="true" sqref="I200:I202">
      <formula1>"Yes,No"</formula1>
    </dataValidation>
    <dataValidation type="list" operator="between" allowBlank="true" showInputMessage="true" showErrorMessage="true" sqref="I203">
      <formula1>"No,Picture Basic,Picture Rich,Video Basic,Video Rich,Megapixel,"</formula1>
    </dataValidation>
    <dataValidation type="list" operator="between" allowBlank="true" showInputMessage="true" showErrorMessage="true" sqref="I204">
      <formula1>"600 kB,300 kB,100 kB,30 kB"</formula1>
    </dataValidation>
    <dataValidation type="list" operator="between" allowBlank="true" showInputMessage="true" showErrorMessage="true" sqref="I205">
      <formula1>"No,Android Messages,OEM native messenger"</formula1>
    </dataValidation>
    <dataValidation type="list" operator="between" allowBlank="true" showInputMessage="true" showErrorMessage="true" sqref="I207">
      <formula1>"No,Integrated,Integrated AND Autofocus"</formula1>
    </dataValidation>
    <dataValidation type="list" operator="between" allowBlank="true" showInputMessage="true" showErrorMessage="true" sqref="I208">
      <formula1>"1,2,3,4,5"</formula1>
    </dataValidation>
    <dataValidation type="decimal" operator="between" allowBlank="true" showInputMessage="true" showErrorMessage="true" errorTitle="Main Camera1 resolution (Mpx)" error="numeric format expected - for instance 999,99 - or length characters exceeded" sqref="I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I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I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I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I213">
      <formula1>0</formula1>
      <formula2>999.99</formula2>
    </dataValidation>
    <dataValidation type="list" operator="between" allowBlank="true" showInputMessage="true" showErrorMessage="true" sqref="I214:I215">
      <formula1>"Yes,No"</formula1>
    </dataValidation>
    <dataValidation type="textLength" operator="between" allowBlank="true" showInputMessage="true" showErrorMessage="true" errorTitle="Main Camera comments" error="Alphanumeric size 500 characters exceeded" sqref="I216">
      <formula1>0</formula1>
      <formula2>500</formula2>
    </dataValidation>
    <dataValidation type="textLength" operator="between" allowBlank="true" showInputMessage="true" showErrorMessage="true" errorTitle="Main Camera Features" error="Alphanumeric size 500 characters exceeded" sqref="I217">
      <formula1>0</formula1>
      <formula2>500</formula2>
    </dataValidation>
    <dataValidation type="textLength" operator="between" allowBlank="true" showInputMessage="true" showErrorMessage="true" errorTitle="Main Camera video" error="Alphanumeric size 500 characters exceeded" sqref="I218">
      <formula1>0</formula1>
      <formula2>500</formula2>
    </dataValidation>
    <dataValidation type="list" operator="between" allowBlank="true" showInputMessage="true" showErrorMessage="true" sqref="I219">
      <formula1>"f/0.30,f/0.60,f/0.70,f/0.75,f/0.80,f/0.85,f/0.90,f/0.95,f/1.0,f/1.1,f/1.2,f/1.3,f/1.4,f/1.5,f/1.6,f/1.7,f/1.8,f/1.9,f/2.0,f/2.1,f/2.2,f/2.3,f/2.4,f/2.5,f/2.8,f/2.9,f/3.0"</formula1>
    </dataValidation>
    <dataValidation type="list" operator="between" allowBlank="true" showInputMessage="true" showErrorMessage="true" sqref="I220">
      <formula1>"Yes,No"</formula1>
    </dataValidation>
    <dataValidation type="list" operator="between" allowBlank="true" showInputMessage="true" showErrorMessage="true" sqref="I221">
      <formula1>"No,LED,2 LED,Xenon,Other"</formula1>
    </dataValidation>
    <dataValidation type="list" operator="between" allowBlank="true" showInputMessage="true" showErrorMessage="true" sqref="I223">
      <formula1>"No,Integrated,Integrated AND Autofocus"</formula1>
    </dataValidation>
    <dataValidation type="list" operator="between" allowBlank="true" showInputMessage="true" showErrorMessage="true" sqref="I224">
      <formula1>"1,2"</formula1>
    </dataValidation>
    <dataValidation type="decimal" operator="between" allowBlank="true" showInputMessage="true" showErrorMessage="true" errorTitle="Selfie Camera1 resolution (Mpx)" error="numeric format expected - for instance 999,99 - or length characters exceeded" sqref="I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I226">
      <formula1>0</formula1>
      <formula2>999.99</formula2>
    </dataValidation>
    <dataValidation type="list" operator="between" allowBlank="true" showInputMessage="true" showErrorMessage="true" sqref="I227:I228">
      <formula1>"Yes,No"</formula1>
    </dataValidation>
    <dataValidation type="textLength" operator="between" allowBlank="true" showInputMessage="true" showErrorMessage="true" errorTitle="Selfie Camera comments" error="Alphanumeric size 500 characters exceeded" sqref="I229">
      <formula1>0</formula1>
      <formula2>500</formula2>
    </dataValidation>
    <dataValidation type="textLength" operator="between" allowBlank="true" showInputMessage="true" showErrorMessage="true" errorTitle="Selfie Camera Features" error="Alphanumeric size 500 characters exceeded" sqref="I230">
      <formula1>0</formula1>
      <formula2>500</formula2>
    </dataValidation>
    <dataValidation type="textLength" operator="between" allowBlank="true" showInputMessage="true" showErrorMessage="true" errorTitle="Selfie Camera video" error="Alphanumeric size 500 characters exceeded" sqref="I231">
      <formula1>0</formula1>
      <formula2>500</formula2>
    </dataValidation>
    <dataValidation type="list" operator="between" allowBlank="true" showInputMessage="true" showErrorMessage="true" sqref="I233:I239">
      <formula1>"Yes,No"</formula1>
    </dataValidation>
    <dataValidation type="textLength" operator="between" allowBlank="true" showInputMessage="true" showErrorMessage="true" errorTitle="GCF Model name" error="Alphanumeric size 64 characters exceeded" sqref="I241">
      <formula1>0</formula1>
      <formula2>64</formula2>
    </dataValidation>
    <dataValidation type="list" operator="between" allowBlank="true" showInputMessage="true" showErrorMessage="true" sqref="I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I244">
      <formula1>0</formula1>
      <formula2>9.99</formula2>
    </dataValidation>
    <dataValidation type="decimal" operator="between" allowBlank="true" showInputMessage="true" showErrorMessage="true" errorTitle="SAR head (Watt/kg)" error="numeric format expected - for instance 9,999 - or length characters exceeded" sqref="I245:I246">
      <formula1>0</formula1>
      <formula2>9.99</formula2>
    </dataValidation>
    <dataValidation type="decimal" operator="between" allowBlank="true" showInputMessage="true" showErrorMessage="true" errorTitle="Production value (kg CO2eq) " error="Numeric expected with max size 99,99" sqref="I249">
      <formula1>0</formula1>
      <formula2>99.99</formula2>
    </dataValidation>
    <dataValidation type="decimal" operator="between" allowBlank="true" showInputMessage="true" showErrorMessage="true" errorTitle="Transportation value (kg CO2eq)" error="Numeric expected with max size 99,99" sqref="I250">
      <formula1>0</formula1>
      <formula2>99.99</formula2>
    </dataValidation>
    <dataValidation type="list" operator="between" allowBlank="true" showInputMessage="true" showErrorMessage="true" error="Integer expected with max size 100" sqref="I252">
      <formula1>"R02,R03,R04,R05"</formula1>
    </dataValidation>
    <dataValidation type="decimal" operator="between" allowBlank="true" showInputMessage="true" showErrorMessage="true" errorTitle="Production value (kg CO2eq) " error="Numeric expected with max size 99,99" sqref="I253">
      <formula1>0</formula1>
      <formula2>99.99</formula2>
    </dataValidation>
    <dataValidation type="decimal" operator="between" allowBlank="true" showInputMessage="true" showErrorMessage="true" errorTitle="Adjustment for memory variant" error="-101&lt;Value expected&lt;101" sqref="I254">
      <formula1>-100.99</formula1>
      <formula2>100.99</formula2>
    </dataValidation>
    <dataValidation type="decimal" operator="between" allowBlank="true" showInputMessage="true" showErrorMessage="true" errorTitle="Transportation value (kg CO2eq)" error="Numeric expected with max size 99,99" sqref="I255">
      <formula1>0</formula1>
      <formula2>99.99</formula2>
    </dataValidation>
    <dataValidation type="decimal" operator="between" allowBlank="true" showInputMessage="true" showErrorMessage="true" errorTitle="Production value (kg CO2eq) " error="Numeric expected with max size 99,99" sqref="I257">
      <formula1>0</formula1>
      <formula2>99.99</formula2>
    </dataValidation>
    <dataValidation type="decimal" operator="between" allowBlank="true" showInputMessage="true" showErrorMessage="true" errorTitle="Adjustment for memory variant" error="-101&lt;Value expected&lt;101" sqref="I258">
      <formula1>-100.99</formula1>
      <formula2>100.99</formula2>
    </dataValidation>
    <dataValidation type="decimal" operator="between" allowBlank="true" showInputMessage="true" showErrorMessage="true" errorTitle="Transportation value (kg CO2eq)" error="Numeric expected with max size 99,99" sqref="I259">
      <formula1>0</formula1>
      <formula2>99.99</formula2>
    </dataValidation>
    <dataValidation type="list" operator="between" allowBlank="true" showInputMessage="true" showErrorMessage="true" sqref="I260">
      <formula1>"World,EU,MEA"</formula1>
    </dataValidation>
    <dataValidation type="whole" operator="between" allowBlank="true" showInputMessage="true" showErrorMessage="true" error="Integer expected with max size 100" sqref="I265">
      <formula1>43101</formula1>
      <formula2>54788</formula2>
    </dataValidation>
    <dataValidation type="decimal" operator="between" allowBlank="true" showInputMessage="true" showErrorMessage="true" error="Numeric range expected from 0,00 to 999,99" sqref="I266">
      <formula1>0</formula1>
      <formula2>999.99</formula2>
    </dataValidation>
    <dataValidation type="date" operator="between" allowBlank="true" showInputMessage="true" showErrorMessage="true" error="Integer expected with max size 100" sqref="I267">
      <formula1>43101</formula1>
      <formula2>54788</formula2>
    </dataValidation>
    <dataValidation type="decimal" operator="between" allowBlank="true" showInputMessage="true" showErrorMessage="true" error="Numeric range expected from 0,00 to 999,99" sqref="I268">
      <formula1>0</formula1>
      <formula2>999.99</formula2>
    </dataValidation>
    <dataValidation type="whole" operator="between" allowBlank="true" showInputMessage="true" showErrorMessage="true" error="Integer expected with max size 100" sqref="I272">
      <formula1>43101</formula1>
      <formula2>54788</formula2>
    </dataValidation>
    <dataValidation type="decimal" operator="between" allowBlank="true" showInputMessage="true" showErrorMessage="true" error="Numeric range expected from 0,00 to 999,99" sqref="I273">
      <formula1>0</formula1>
      <formula2>999.99</formula2>
    </dataValidation>
    <dataValidation type="date" operator="between" allowBlank="true" showInputMessage="true" showErrorMessage="true" error="Integer expected with max size 100" sqref="I274">
      <formula1>43101</formula1>
      <formula2>54788</formula2>
    </dataValidation>
    <dataValidation type="decimal" operator="between" allowBlank="true" showInputMessage="true" showErrorMessage="true" error="Numeric range expected from 0,00 to 999,99" sqref="I275">
      <formula1>0</formula1>
      <formula2>999.99</formula2>
    </dataValidation>
    <dataValidation type="whole" operator="between" allowBlank="true" showInputMessage="true" showErrorMessage="true" error="Integer expected with max size 100" sqref="I279">
      <formula1>43101</formula1>
      <formula2>54788</formula2>
    </dataValidation>
    <dataValidation type="decimal" operator="between" allowBlank="true" showInputMessage="true" showErrorMessage="true" error="Numeric range expected from 0,00 to 999,99" sqref="I280">
      <formula1>0</formula1>
      <formula2>999.99</formula2>
    </dataValidation>
    <dataValidation type="date" operator="between" allowBlank="true" showInputMessage="true" showErrorMessage="true" error="Integer expected with max size 100" sqref="I281">
      <formula1>43101</formula1>
      <formula2>54788</formula2>
    </dataValidation>
    <dataValidation type="decimal" operator="between" allowBlank="true" showInputMessage="true" showErrorMessage="true" error="Numeric range expected from 0,00 to 999,99" sqref="I282">
      <formula1>0</formula1>
      <formula2>999.99</formula2>
    </dataValidation>
    <dataValidation type="textLength" errorStyle="stop" operator="between" allowBlank="true" showDropDown="false" showInputMessage="true" showErrorMessage="true" prompt="" sqref="J2">
      <formula1>1</formula1>
      <formula2>10000</formula2>
    </dataValidation>
    <dataValidation type="textLength" operator="between" allowBlank="true" showInputMessage="true" showErrorMessage="true" errorTitle="GCF Model name" error="Alphanumeric size 64 characters exceeded" sqref="J6:J28">
      <formula1>0</formula1>
      <formula2>64</formula2>
    </dataValidation>
    <dataValidation type="textLength" operator="between" showInputMessage="true" showErrorMessage="true" sqref="J29">
      <formula1>0</formula1>
      <formula2>64</formula2>
    </dataValidation>
    <dataValidation type="textLength" operator="between" allowBlank="true" showInputMessage="true" showErrorMessage="true" errorTitle="GCF Model name" error="Alphanumeric size 64 characters exceeded" sqref="J30">
      <formula1>0</formula1>
      <formula2>64</formula2>
    </dataValidation>
    <dataValidation type="textLength" operator="between" showInputMessage="true" showErrorMessage="true" sqref="J31:J34">
      <formula1>0</formula1>
      <formula2>64</formula2>
    </dataValidation>
    <dataValidation type="textLength" operator="between" allowBlank="true" showInputMessage="true" showErrorMessage="true" errorTitle="GCF Model name" error="Alphanumeric size 64 characters exceeded" sqref="J35:J41">
      <formula1>0</formula1>
      <formula2>64</formula2>
    </dataValidation>
    <dataValidation type="textLength" operator="between" showInputMessage="true" showErrorMessage="true" sqref="J42:J50">
      <formula1>0</formula1>
      <formula2>64</formula2>
    </dataValidation>
    <dataValidation type="textLength" operator="between" allowBlank="true" showInputMessage="true" showErrorMessage="true" errorTitle="GCF Model name" error="Alphanumeric size 64 characters exceeded" sqref="J51">
      <formula1>0</formula1>
      <formula2>64</formula2>
    </dataValidation>
    <dataValidation type="textLength" operator="between" showInputMessage="true" showErrorMessage="true" sqref="J52">
      <formula1>0</formula1>
      <formula2>64</formula2>
    </dataValidation>
    <dataValidation type="textLength" operator="between" allowBlank="true" showInputMessage="true" showErrorMessage="true" errorTitle="GCF Model name" error="Alphanumeric size 64 characters exceeded" sqref="J53:J57">
      <formula1>0</formula1>
      <formula2>64</formula2>
    </dataValidation>
    <dataValidation type="textLength" operator="between" showInputMessage="true" showErrorMessage="true" sqref="J58">
      <formula1>0</formula1>
      <formula2>64</formula2>
    </dataValidation>
    <dataValidation type="textLength" operator="between" allowBlank="true" showInputMessage="true" showErrorMessage="true" errorTitle="GCF Model name" error="Alphanumeric size 64 characters exceeded" sqref="J59">
      <formula1>0</formula1>
      <formula2>64</formula2>
    </dataValidation>
    <dataValidation type="textLength" operator="between" showInputMessage="true" showErrorMessage="true" sqref="J60">
      <formula1>0</formula1>
      <formula2>64</formula2>
    </dataValidation>
    <dataValidation type="textLength" operator="between" allowBlank="true" showInputMessage="true" showErrorMessage="true" errorTitle="GCF Model name" error="Alphanumeric size 64 characters exceeded" sqref="J61:J63">
      <formula1>0</formula1>
      <formula2>64</formula2>
    </dataValidation>
    <dataValidation type="textLength" operator="between" showInputMessage="true" showErrorMessage="true" sqref="J64:J101">
      <formula1>0</formula1>
      <formula2>64</formula2>
    </dataValidation>
    <dataValidation type="textLength" operator="between" allowBlank="true" showInputMessage="true" showErrorMessage="true" errorTitle="GCF Model name" error="Alphanumeric size 64 characters exceeded" sqref="J102:J106">
      <formula1>0</formula1>
      <formula2>64</formula2>
    </dataValidation>
    <dataValidation type="textLength" operator="between" showInputMessage="true" showErrorMessage="true" sqref="J107:J111">
      <formula1>0</formula1>
      <formula2>64</formula2>
    </dataValidation>
    <dataValidation type="textLength" operator="between" allowBlank="true" showInputMessage="true" showErrorMessage="true" errorTitle="GCF Model name" error="Alphanumeric size 64 characters exceeded" sqref="J112:J113">
      <formula1>0</formula1>
      <formula2>64</formula2>
    </dataValidation>
    <dataValidation type="textLength" operator="between" showInputMessage="true" showErrorMessage="true" sqref="J114:J115">
      <formula1>0</formula1>
      <formula2>64</formula2>
    </dataValidation>
    <dataValidation type="textLength" operator="between" allowBlank="true" showInputMessage="true" showErrorMessage="true" errorTitle="GCF Model name" error="Alphanumeric size 64 characters exceeded" sqref="J116:J131">
      <formula1>0</formula1>
      <formula2>64</formula2>
    </dataValidation>
    <dataValidation type="textLength" operator="between" showInputMessage="true" showErrorMessage="true" sqref="J132:J143">
      <formula1>0</formula1>
      <formula2>64</formula2>
    </dataValidation>
    <dataValidation type="textLength" operator="between" allowBlank="true" showInputMessage="true" showErrorMessage="true" errorTitle="GCF Model name" error="Alphanumeric size 64 characters exceeded" sqref="J144:J147">
      <formula1>0</formula1>
      <formula2>64</formula2>
    </dataValidation>
    <dataValidation type="textLength" operator="between" showInputMessage="true" showErrorMessage="true" sqref="J148:J149">
      <formula1>0</formula1>
      <formula2>64</formula2>
    </dataValidation>
    <dataValidation type="textLength" operator="between" allowBlank="true" showInputMessage="true" showErrorMessage="true" errorTitle="GCF Model name" error="Alphanumeric size 64 characters exceeded" sqref="J150:J151">
      <formula1>0</formula1>
      <formula2>64</formula2>
    </dataValidation>
    <dataValidation type="textLength" operator="between" showInputMessage="true" showErrorMessage="true" sqref="J152:J166">
      <formula1>0</formula1>
      <formula2>64</formula2>
    </dataValidation>
    <dataValidation type="textLength" operator="between" allowBlank="true" showInputMessage="true" showErrorMessage="true" errorTitle="GCF Model name" error="Alphanumeric size 64 characters exceeded" sqref="J167:J173">
      <formula1>0</formula1>
      <formula2>64</formula2>
    </dataValidation>
    <dataValidation type="textLength" operator="between" showInputMessage="true" showErrorMessage="true" sqref="J174:J180">
      <formula1>0</formula1>
      <formula2>64</formula2>
    </dataValidation>
    <dataValidation type="textLength" operator="between" allowBlank="true" showInputMessage="true" showErrorMessage="true" errorTitle="GCF Model name" error="Alphanumeric size 64 characters exceeded" sqref="J181">
      <formula1>0</formula1>
      <formula2>64</formula2>
    </dataValidation>
    <dataValidation type="textLength" operator="between" showInputMessage="true" showErrorMessage="true" sqref="J182:J187">
      <formula1>0</formula1>
      <formula2>64</formula2>
    </dataValidation>
    <dataValidation type="textLength" operator="between" allowBlank="true" showInputMessage="true" showErrorMessage="true" errorTitle="GCF Model name" error="Alphanumeric size 64 characters exceeded" sqref="J188:J206">
      <formula1>0</formula1>
      <formula2>64</formula2>
    </dataValidation>
    <dataValidation type="textLength" operator="between" showInputMessage="true" showErrorMessage="true" sqref="J207:J209">
      <formula1>0</formula1>
      <formula2>64</formula2>
    </dataValidation>
    <dataValidation type="textLength" operator="between" allowBlank="true" showInputMessage="true" showErrorMessage="true" errorTitle="GCF Model name" error="Alphanumeric size 64 characters exceeded" sqref="J210:J213">
      <formula1>0</formula1>
      <formula2>64</formula2>
    </dataValidation>
    <dataValidation type="textLength" operator="between" showInputMessage="true" showErrorMessage="true" sqref="J214:J215">
      <formula1>0</formula1>
      <formula2>64</formula2>
    </dataValidation>
    <dataValidation type="textLength" operator="between" allowBlank="true" showInputMessage="true" showErrorMessage="true" errorTitle="GCF Model name" error="Alphanumeric size 64 characters exceeded" sqref="J216:J219">
      <formula1>0</formula1>
      <formula2>64</formula2>
    </dataValidation>
    <dataValidation type="textLength" operator="between" showInputMessage="true" showErrorMessage="true" sqref="J220:J221">
      <formula1>0</formula1>
      <formula2>64</formula2>
    </dataValidation>
    <dataValidation type="textLength" operator="between" allowBlank="true" showInputMessage="true" showErrorMessage="true" errorTitle="GCF Model name" error="Alphanumeric size 64 characters exceeded" sqref="J222">
      <formula1>0</formula1>
      <formula2>64</formula2>
    </dataValidation>
    <dataValidation type="textLength" operator="between" showInputMessage="true" showErrorMessage="true" sqref="J223:J225">
      <formula1>0</formula1>
      <formula2>64</formula2>
    </dataValidation>
    <dataValidation type="textLength" operator="between" allowBlank="true" showInputMessage="true" showErrorMessage="true" errorTitle="GCF Model name" error="Alphanumeric size 64 characters exceeded" sqref="J226">
      <formula1>0</formula1>
      <formula2>64</formula2>
    </dataValidation>
    <dataValidation type="textLength" operator="between" showInputMessage="true" showErrorMessage="true" sqref="J227:J228">
      <formula1>0</formula1>
      <formula2>64</formula2>
    </dataValidation>
    <dataValidation type="textLength" operator="between" allowBlank="true" showInputMessage="true" showErrorMessage="true" errorTitle="GCF Model name" error="Alphanumeric size 64 characters exceeded" sqref="J229:J282">
      <formula1>0</formula1>
      <formula2>64</formula2>
    </dataValidation>
    <dataValidation type="textLength" errorStyle="stop" operator="between" allowBlank="true" showDropDown="false" showInputMessage="true" showErrorMessage="true" prompt="" sqref="K2">
      <formula1>1</formula1>
      <formula2>10000</formula2>
    </dataValidation>
    <dataValidation type="textLength" operator="between" allowBlank="true" showInputMessage="true" showErrorMessage="true" errorTitle="GCF Model name" error="Alphanumeric size 64 characters exceeded" sqref="K6:K51">
      <formula1>0</formula1>
      <formula2>64</formula2>
    </dataValidation>
    <dataValidation type="textLength" operator="between" showInputMessage="true" showErrorMessage="true" sqref="K52">
      <formula1>0</formula1>
      <formula2>64</formula2>
    </dataValidation>
    <dataValidation type="textLength" operator="between" allowBlank="true" showInputMessage="true" showErrorMessage="true" errorTitle="GCF Model name" error="Alphanumeric size 64 characters exceeded" sqref="K53:K57">
      <formula1>0</formula1>
      <formula2>64</formula2>
    </dataValidation>
    <dataValidation type="textLength" operator="between" showInputMessage="true" showErrorMessage="true" sqref="K58">
      <formula1>0</formula1>
      <formula2>64</formula2>
    </dataValidation>
    <dataValidation type="textLength" operator="between" allowBlank="true" showInputMessage="true" showErrorMessage="true" errorTitle="GCF Model name" error="Alphanumeric size 64 characters exceeded" sqref="K59">
      <formula1>0</formula1>
      <formula2>64</formula2>
    </dataValidation>
    <dataValidation type="textLength" operator="between" showInputMessage="true" showErrorMessage="true" sqref="K60">
      <formula1>0</formula1>
      <formula2>64</formula2>
    </dataValidation>
    <dataValidation type="textLength" operator="between" allowBlank="true" showInputMessage="true" showErrorMessage="true" errorTitle="GCF Model name" error="Alphanumeric size 64 characters exceeded" sqref="K61:K63">
      <formula1>0</formula1>
      <formula2>64</formula2>
    </dataValidation>
    <dataValidation type="textLength" operator="between" showInputMessage="true" showErrorMessage="true" sqref="K64:K101">
      <formula1>0</formula1>
      <formula2>64</formula2>
    </dataValidation>
    <dataValidation type="textLength" operator="between" allowBlank="true" showInputMessage="true" showErrorMessage="true" errorTitle="GCF Model name" error="Alphanumeric size 64 characters exceeded" sqref="K102:K106">
      <formula1>0</formula1>
      <formula2>64</formula2>
    </dataValidation>
    <dataValidation type="textLength" operator="between" showInputMessage="true" showErrorMessage="true" sqref="K107:K111">
      <formula1>0</formula1>
      <formula2>64</formula2>
    </dataValidation>
    <dataValidation type="textLength" operator="between" allowBlank="true" showInputMessage="true" showErrorMessage="true" errorTitle="GCF Model name" error="Alphanumeric size 64 characters exceeded" sqref="K112:K113">
      <formula1>0</formula1>
      <formula2>64</formula2>
    </dataValidation>
    <dataValidation type="textLength" operator="between" showInputMessage="true" showErrorMessage="true" sqref="K114:K115">
      <formula1>0</formula1>
      <formula2>64</formula2>
    </dataValidation>
    <dataValidation type="textLength" operator="between" allowBlank="true" showInputMessage="true" showErrorMessage="true" errorTitle="GCF Model name" error="Alphanumeric size 64 characters exceeded" sqref="K116:K131">
      <formula1>0</formula1>
      <formula2>64</formula2>
    </dataValidation>
    <dataValidation type="textLength" operator="between" showInputMessage="true" showErrorMessage="true" sqref="K132:K143">
      <formula1>0</formula1>
      <formula2>64</formula2>
    </dataValidation>
    <dataValidation type="textLength" operator="between" allowBlank="true" showInputMessage="true" showErrorMessage="true" errorTitle="GCF Model name" error="Alphanumeric size 64 characters exceeded" sqref="K144:K147">
      <formula1>0</formula1>
      <formula2>64</formula2>
    </dataValidation>
    <dataValidation type="textLength" operator="between" showInputMessage="true" showErrorMessage="true" sqref="K148:K149">
      <formula1>0</formula1>
      <formula2>64</formula2>
    </dataValidation>
    <dataValidation type="textLength" operator="between" allowBlank="true" showInputMessage="true" showErrorMessage="true" errorTitle="GCF Model name" error="Alphanumeric size 64 characters exceeded" sqref="K150:K151">
      <formula1>0</formula1>
      <formula2>64</formula2>
    </dataValidation>
    <dataValidation type="textLength" operator="between" showInputMessage="true" showErrorMessage="true" sqref="K152:K166">
      <formula1>0</formula1>
      <formula2>64</formula2>
    </dataValidation>
    <dataValidation type="textLength" operator="between" allowBlank="true" showInputMessage="true" showErrorMessage="true" errorTitle="GCF Model name" error="Alphanumeric size 64 characters exceeded" sqref="K167:K173">
      <formula1>0</formula1>
      <formula2>64</formula2>
    </dataValidation>
    <dataValidation type="textLength" operator="between" showInputMessage="true" showErrorMessage="true" sqref="K174:K180">
      <formula1>0</formula1>
      <formula2>64</formula2>
    </dataValidation>
    <dataValidation type="textLength" operator="between" allowBlank="true" showInputMessage="true" showErrorMessage="true" errorTitle="GCF Model name" error="Alphanumeric size 64 characters exceeded" sqref="K181">
      <formula1>0</formula1>
      <formula2>64</formula2>
    </dataValidation>
    <dataValidation type="textLength" operator="between" showInputMessage="true" showErrorMessage="true" sqref="K182:K187">
      <formula1>0</formula1>
      <formula2>64</formula2>
    </dataValidation>
    <dataValidation type="textLength" operator="between" allowBlank="true" showInputMessage="true" showErrorMessage="true" errorTitle="GCF Model name" error="Alphanumeric size 64 characters exceeded" sqref="K188:K206">
      <formula1>0</formula1>
      <formula2>64</formula2>
    </dataValidation>
    <dataValidation type="textLength" operator="between" showInputMessage="true" showErrorMessage="true" sqref="K207:K209">
      <formula1>0</formula1>
      <formula2>64</formula2>
    </dataValidation>
    <dataValidation type="textLength" operator="between" allowBlank="true" showInputMessage="true" showErrorMessage="true" errorTitle="GCF Model name" error="Alphanumeric size 64 characters exceeded" sqref="K210:K213">
      <formula1>0</formula1>
      <formula2>64</formula2>
    </dataValidation>
    <dataValidation type="textLength" operator="between" showInputMessage="true" showErrorMessage="true" sqref="K214:K215">
      <formula1>0</formula1>
      <formula2>64</formula2>
    </dataValidation>
    <dataValidation type="textLength" operator="between" allowBlank="true" showInputMessage="true" showErrorMessage="true" errorTitle="GCF Model name" error="Alphanumeric size 64 characters exceeded" sqref="K216:K218">
      <formula1>0</formula1>
      <formula2>64</formula2>
    </dataValidation>
    <dataValidation type="textLength" operator="between" showInputMessage="true" showErrorMessage="true" sqref="K219:K221">
      <formula1>0</formula1>
      <formula2>64</formula2>
    </dataValidation>
    <dataValidation type="textLength" operator="between" allowBlank="true" showInputMessage="true" showErrorMessage="true" errorTitle="GCF Model name" error="Alphanumeric size 64 characters exceeded" sqref="K222">
      <formula1>0</formula1>
      <formula2>64</formula2>
    </dataValidation>
    <dataValidation type="textLength" operator="between" showInputMessage="true" showErrorMessage="true" sqref="K223:K225">
      <formula1>0</formula1>
      <formula2>64</formula2>
    </dataValidation>
    <dataValidation type="textLength" operator="between" allowBlank="true" showInputMessage="true" showErrorMessage="true" errorTitle="GCF Model name" error="Alphanumeric size 64 characters exceeded" sqref="K226">
      <formula1>0</formula1>
      <formula2>64</formula2>
    </dataValidation>
    <dataValidation type="textLength" operator="between" showInputMessage="true" showErrorMessage="true" sqref="K227:K228">
      <formula1>0</formula1>
      <formula2>64</formula2>
    </dataValidation>
    <dataValidation type="textLength" operator="between" allowBlank="true" showInputMessage="true" showErrorMessage="true" errorTitle="GCF Model name" error="Alphanumeric size 64 characters exceeded" sqref="K229:K282">
      <formula1>0</formula1>
      <formula2>64</formula2>
    </dataValidation>
    <dataValidation type="textLength" errorStyle="stop" operator="between" allowBlank="true" showDropDown="false" showInputMessage="true" showErrorMessage="true" prompt="" sqref="L2">
      <formula1>1</formula1>
      <formula2>10000</formula2>
    </dataValidation>
    <dataValidation type="list" operator="between" allowBlank="true" showInputMessage="true" showErrorMessage="true" sqref="L6">
      <formula1>"Mobile,Tablet"</formula1>
    </dataValidation>
    <dataValidation type="textLength" operator="between" allowBlank="true" showInputMessage="true" showErrorMessage="true" errorTitle="Brand name" error="Alphanumeric size from 3 to 50 characters" sqref="L7">
      <formula1>3</formula1>
      <formula2>50</formula2>
    </dataValidation>
    <dataValidation type="textLength" operator="between" allowBlank="true" showInputMessage="true" showErrorMessage="true" errorTitle="GCF Model name" error="Alphanumeric size 64 characters exceeded" sqref="L8">
      <formula1>0</formula1>
      <formula2>64</formula2>
    </dataValidation>
    <dataValidation type="textLength" operator="between" allowBlank="true" showInputMessage="true" showErrorMessage="true" errorTitle="Comments" error="Alphanumeric size 2000 characters exceeded" sqref="L9">
      <formula1>0</formula1>
      <formula2>2000</formula2>
    </dataValidation>
    <dataValidation type="date" operator="between" allowBlank="true" showErrorMessage="true" errorTitle="Marketing samples availability" error="Date expected" sqref="L10">
      <formula1>43101</formula1>
      <formula2>54788</formula2>
    </dataValidation>
    <dataValidation type="date" operator="between" allowBlank="true" showErrorMessage="true" errorTitle="Technical samples availability" error="Date expected" sqref="L11">
      <formula1>43101</formula1>
      <formula2>54788</formula2>
    </dataValidation>
    <dataValidation type="date" operator="between" allowBlank="true" showErrorMessage="true" errorTitle="Expected Generic Street Launch" error="Date expected" sqref="L12">
      <formula1>43101</formula1>
      <formula2>54788</formula2>
    </dataValidation>
    <dataValidation type="date" operator="between" allowBlank="true" showErrorMessage="true" errorTitle="Expected availability warehouse" error="Date expected" sqref="L13">
      <formula1>43101</formula1>
      <formula2>54788</formula2>
    </dataValidation>
    <dataValidation type="date" operator="between" allowBlank="true" showErrorMessage="true" errorTitle="GCF date" error="Date expected" sqref="L14:L15">
      <formula1>43101</formula1>
      <formula2>54788</formula2>
    </dataValidation>
    <dataValidation type="date" operator="between" allowBlank="true" showErrorMessage="true" errorTitle="Wi-Fi alliance date" error="Date expected" sqref="L16">
      <formula1>43101</formula1>
      <formula2>54788</formula2>
    </dataValidation>
    <dataValidation type="list" operator="between" allowBlank="true" showInputMessage="true" showErrorMessage="true" sqref="L17">
      <formula1>"Flagship,Everyday Superphone,Essential Smartphone,Voice,Not applicable"</formula1>
    </dataValidation>
    <dataValidation type="decimal" operator="between" allowBlank="true" showInputMessage="true" showErrorMessage="true" errorTitle="Repairability index" error="Numeric expected with max size 10,00" sqref="L18">
      <formula1>0</formula1>
      <formula2>10</formula2>
    </dataValidation>
    <dataValidation type="textLength" operator="between" allowBlank="true" showInputMessage="true" showErrorMessage="true" errorTitle="Comments" error="Alphanumeric size 2000 characters exceeded" sqref="L19">
      <formula1>0</formula1>
      <formula2>2000</formula2>
    </dataValidation>
    <dataValidation type="textLength" operator="between" allowBlank="true" showInputMessage="true" showErrorMessage="true" errorTitle="Commercial name" error="Alphanumeric size 120 characters exceeded" sqref="L21">
      <formula1>0</formula1>
      <formula2>120</formula2>
    </dataValidation>
    <dataValidation type="textLength" operator="between" allowBlank="true" showInputMessage="true" showErrorMessage="true" errorTitle="Orange Variant name" error="Alphanumeric size 120 characters exceeded" sqref="L22">
      <formula1>0</formula1>
      <formula2>240</formula2>
    </dataValidation>
    <dataValidation type="list" operator="between" allowBlank="true" showInputMessage="true" showErrorMessage="true" sqref="L23">
      <formula1>"ODM - OBD, ODM - Not OBD"</formula1>
    </dataValidation>
    <dataValidation type="list" operator="between" allowBlank="true" showInputMessage="true" showErrorMessage="true" sqref="L24">
      <formula1>"Flagship,Everyday Superphone,Essential Smartphone,Voice,Not applicable"</formula1>
    </dataValidation>
    <dataValidation type="list" operator="between" allowBlank="true" showInputMessage="true" showErrorMessage="true" sqref="L25">
      <formula1>"Essential Smartphone High,Essential Smartphone Entry,Not applicable"</formula1>
    </dataValidation>
    <dataValidation type="list" operator="between" allowBlank="true" showInputMessage="true" showErrorMessage="true" sqref="L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L29">
      <formula1>0</formula1>
      <formula2>50</formula2>
    </dataValidation>
    <dataValidation type="textLength" operator="between" allowBlank="true" showInputMessage="true" showErrorMessage="true" errorTitle="Hardware Platform ref name" error="Alphanumeric size 50 characters exceeded" sqref="L30">
      <formula1>0</formula1>
      <formula2>50</formula2>
    </dataValidation>
    <dataValidation type="list" operator="between" allowBlank="true" showInputMessage="true" showErrorMessage="true" sqref="L31">
      <formula1>='Listes deroulantes'!$U$2:$U$28</formula1>
    </dataValidation>
    <dataValidation type="textLength" operator="between" allowBlank="true" showInputMessage="true" showErrorMessage="true" errorTitle="Baseband chipset name" error="Alphanumeric size 50 characters exceeded" sqref="L32">
      <formula1>0</formula1>
      <formula2>50</formula2>
    </dataValidation>
    <dataValidation type="list" operator="between" allowBlank="true" showInputMessage="true" showErrorMessage="true" sqref="L33">
      <formula1>"0,1,2,3,4,6,8,Others"</formula1>
    </dataValidation>
    <dataValidation type="list" operator="between" allowBlank="true" showInputMessage="true" showErrorMessage="true" sqref="L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L37">
      <formula1>0</formula1>
      <formula2>10</formula2>
    </dataValidation>
    <dataValidation type="textLength" operator="between" allowBlank="true" showInputMessage="true" showErrorMessage="true" errorTitle="Nb of OS Android patch upgrade" error="Integer size 2 characters exceeded" sqref="L38">
      <formula1>0</formula1>
      <formula2>2</formula2>
    </dataValidation>
    <dataValidation type="textLength" operator="between" allowBlank="true" showInputMessage="true" showErrorMessage="true" errorTitle="OS Android patch upgrade (years)" error="Integer size 2 characters exceeded" sqref="L39">
      <formula1>0</formula1>
      <formula2>2</formula2>
    </dataValidation>
    <dataValidation type="list" operator="between" allowBlank="true" showInputMessage="true" showErrorMessage="true" errorTitle="Frequency Android OS security" error="Value not allowed, select value from drop down menu" sqref="L40">
      <formula1>"Monthly,Quarterly,Half-yearly,Yearly"</formula1>
    </dataValidation>
    <dataValidation type="list" operator="between" allowBlank="true" showInputMessage="true" showErrorMessage="true" sqref="L42:L48">
      <formula1>"Yes,No"</formula1>
    </dataValidation>
    <dataValidation type="list" operator="between" allowBlank="true" showInputMessage="true" showErrorMessage="true" sqref="L49">
      <formula1>"FDD,TDD,FDD / TDD"</formula1>
    </dataValidation>
    <dataValidation type="list" operator="between" allowBlank="true" showInputMessage="true" showErrorMessage="true" sqref="L50">
      <formula1>='Listes deroulantes'!$A$2:$A$32</formula1>
    </dataValidation>
    <dataValidation type="list" operator="between" allowBlank="true" showInputMessage="true" showErrorMessage="true" sqref="L51">
      <formula1>='Listes deroulantes'!$E$2:$E$26</formula1>
    </dataValidation>
    <dataValidation type="list" operator="between" allowBlank="true" showInputMessage="true" showErrorMessage="true" sqref="L52">
      <formula1>='Listes deroulantes'!$C$2:$C$23</formula1>
    </dataValidation>
    <dataValidation type="list" operator="between" allowBlank="true" showInputMessage="true" showErrorMessage="true" sqref="L53:L56">
      <formula1>"Yes,No"</formula1>
    </dataValidation>
    <dataValidation type="list" operator="between" allowBlank="true" showInputMessage="true" showErrorMessage="true" sqref="L57">
      <formula1>"No,2x2,4x4,4x2"</formula1>
    </dataValidation>
    <dataValidation type="list" operator="between" allowBlank="true" showInputMessage="true" showErrorMessage="true" sqref="L58">
      <formula1>"No,2x2"</formula1>
    </dataValidation>
    <dataValidation type="list" operator="between" allowBlank="true" showInputMessage="true" showErrorMessage="true" sqref="L59">
      <formula1>"No,2,3,4,5,6,7,8"</formula1>
    </dataValidation>
    <dataValidation type="list" operator="between" allowBlank="true" showInputMessage="true" showErrorMessage="true" sqref="L60">
      <formula1>='Listes deroulantes'!$G$2:$G$5</formula1>
    </dataValidation>
    <dataValidation type="list" operator="between" allowBlank="true" showInputMessage="true" showErrorMessage="true" sqref="L61">
      <formula1>='Listes deroulantes'!$I$2:$I$3</formula1>
    </dataValidation>
    <dataValidation type="list" operator="between" allowBlank="true" showInputMessage="true" showErrorMessage="true" sqref="L62">
      <formula1>='Listes deroulantes'!$K$2:$K$4</formula1>
    </dataValidation>
    <dataValidation type="list" operator="between" allowBlank="true" showInputMessage="true" showErrorMessage="true" sqref="L64:L97">
      <formula1>"Yes,No"</formula1>
    </dataValidation>
    <dataValidation type="list" operator="between" allowBlank="true" showInputMessage="true" showErrorMessage="true" sqref="L98:L99">
      <formula1>='Listes deroulantes'!$I$2:$I$3</formula1>
    </dataValidation>
    <dataValidation type="list" operator="between" allowBlank="true" showInputMessage="true" showErrorMessage="true" sqref="L100">
      <formula1>='Listes deroulantes'!$M$2:$M$18</formula1>
    </dataValidation>
    <dataValidation type="list" operator="between" allowBlank="true" showInputMessage="true" showErrorMessage="true" sqref="L101">
      <formula1>='Listes deroulantes'!$O$2:$O$4</formula1>
    </dataValidation>
    <dataValidation type="decimal" operator="between" allowBlank="true" showInputMessage="true" showErrorMessage="true" errorTitle="Weight (g)" error="numeric format expected - for instance 999,99 maximum - or length characters exceeded" sqref="L103:L106">
      <formula1>0</formula1>
      <formula2>999.99</formula2>
    </dataValidation>
    <dataValidation type="list" operator="between" allowBlank="true" showInputMessage="true" showErrorMessage="true" sqref="L107">
      <formula1>"Bar,Messenger bar,Clamshell,Slide,Touch,Messenger/sliding touch,Other"</formula1>
    </dataValidation>
    <dataValidation type="list" operator="between" allowBlank="true" showInputMessage="true" showErrorMessage="true" sqref="L108:L109">
      <formula1>"Yes,No"</formula1>
    </dataValidation>
    <dataValidation type="list" operator="between" allowBlank="true" showInputMessage="true" showErrorMessage="true" sqref="L110">
      <formula1>"Hard AZERTY/QWERTY,Touch AZERTY/QWERTY,Hard 20 keys,Numeric keypad only	"</formula1>
    </dataValidation>
    <dataValidation type="list" operator="between" allowBlank="true" showInputMessage="true" showErrorMessage="true" sqref="L111">
      <formula1>"Yes,No"</formula1>
    </dataValidation>
    <dataValidation type="list" operator="between" allowBlank="true" showInputMessage="true" showErrorMessage="true" sqref="L112">
      <formula1>"2m,1.8m,1.5m,1.2m,1.0m,&lt;1.0m"</formula1>
    </dataValidation>
    <dataValidation type="list" operator="between" allowBlank="true" showInputMessage="true" showErrorMessage="true" sqref="L113">
      <formula1>"IP52,IP54,IP57,IP58,IP64,IP67,IP68,Not known,Other"</formula1>
    </dataValidation>
    <dataValidation type="list" operator="between" allowBlank="true" showInputMessage="true" showErrorMessage="true" sqref="L114:L115">
      <formula1>"Yes,No"</formula1>
    </dataValidation>
    <dataValidation type="decimal" operator="between" allowBlank="true" showInputMessage="true" showErrorMessage="true" errorTitle="Screen size (in inches) diagonal" error="numeric format expected - for instance 99,99 - or length characters exceeded" sqref="L117">
      <formula1>0</formula1>
      <formula2>99.99</formula2>
    </dataValidation>
    <dataValidation type="whole" operator="between" allowBlank="true" showInputMessage="true" showErrorMessage="true" errorTitle="Width (px)" error="Integer size 4 expected or lenght characters exceeded" sqref="L118">
      <formula1>0</formula1>
      <formula2>9999</formula2>
    </dataValidation>
    <dataValidation type="whole" operator="between" allowBlank="true" showInputMessage="true" showErrorMessage="true" errorTitle="Height (px)" error="Integer size 4 expected or lenght characters exceeded" sqref="L119">
      <formula1>0</formula1>
      <formula2>9999</formula2>
    </dataValidation>
    <dataValidation type="list" operator="between" allowBlank="true" showInputMessage="true" showErrorMessage="true" sqref="L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L121">
      <formula1>0</formula1>
      <formula2>9999</formula2>
    </dataValidation>
    <dataValidation type="textLength" operator="between" allowBlank="true" showInputMessage="true" showErrorMessage="true" errorTitle="Contrast ratio" error="Expected length 0&lt;= value length &lt;51" sqref="L122">
      <formula1>0</formula1>
      <formula2>50</formula2>
    </dataValidation>
    <dataValidation type="textLength" operator="between" allowBlank="true" showInputMessage="true" showErrorMessage="true" errorTitle="Brightness (cd/m2)" error="Expected length 0&lt;= value length &lt;51" sqref="L123">
      <formula1>0</formula1>
      <formula2>50</formula2>
    </dataValidation>
    <dataValidation type="list" operator="between" allowBlank="true" showInputMessage="true" showErrorMessage="true" sqref="L124:L126">
      <formula1>"Yes,No"</formula1>
    </dataValidation>
    <dataValidation type="list" operator="between" allowBlank="true" showInputMessage="true" showErrorMessage="true" sqref="L128">
      <formula1>"Yes,No"</formula1>
    </dataValidation>
    <dataValidation type="list" operator="between" allowBlank="true" showInputMessage="true" showErrorMessage="true" sqref="L129">
      <formula1>"No,2,3,4,5,More"</formula1>
    </dataValidation>
    <dataValidation type="list" operator="between" allowBlank="true" showInputMessage="true" showErrorMessage="true" sqref="L130">
      <formula1>"No,2FF,3FF (MicroSIM),4FF (nano SIM),e-SIM,e-SIM or 4FF (nano SIM)"</formula1>
    </dataValidation>
    <dataValidation type="list" operator="between" allowBlank="true" showInputMessage="true" showErrorMessage="true" sqref="L132">
      <formula1>='Listes deroulantes'!$U$2:$U$28</formula1>
    </dataValidation>
    <dataValidation type="textLength" operator="between" allowBlank="true" showInputMessage="true" showErrorMessage="true" errorTitle="Wi-FI chipset name" error="Alphanumeric size 50 characters exceeded" sqref="L133">
      <formula1>0</formula1>
      <formula2>50</formula2>
    </dataValidation>
    <dataValidation type="list" operator="between" allowBlank="true" showInputMessage="true" showErrorMessage="true" sqref="L134:L148">
      <formula1>"Yes,No"</formula1>
    </dataValidation>
    <dataValidation type="list" operator="between" allowBlank="true" showInputMessage="true" showErrorMessage="true" sqref="L149">
      <formula1>"2x2,4x4,6x6,8x8"</formula1>
    </dataValidation>
    <dataValidation type="list" operator="between" allowBlank="true" showInputMessage="true" showErrorMessage="true" sqref="L150">
      <formula1>='Listes deroulantes'!$V$2:$V$16</formula1>
    </dataValidation>
    <dataValidation type="textLength" operator="between" allowBlank="true" showInputMessage="true" showErrorMessage="true" errorTitle="Bluetooth Profile" error="Alphanumeric size 100 characters exceeded" sqref="L151">
      <formula1>0</formula1>
      <formula2>100</formula2>
    </dataValidation>
    <dataValidation type="list" operator="between" allowBlank="true" showInputMessage="true" showErrorMessage="true" sqref="L152:L154">
      <formula1>"Yes,No"</formula1>
    </dataValidation>
    <dataValidation type="list" operator="between" allowBlank="true" showInputMessage="true" showErrorMessage="true" sqref="L158">
      <formula1>"No,A-GPS,GPS Standalone,GNSS"</formula1>
    </dataValidation>
    <dataValidation type="list" operator="between" allowBlank="true" showInputMessage="true" showErrorMessage="true" sqref="L159">
      <formula1>='Listes deroulantes'!$Q$2:$Q$10</formula1>
    </dataValidation>
    <dataValidation type="list" operator="between" allowBlank="true" showInputMessage="true" showErrorMessage="true" sqref="L160">
      <formula1>='Listes deroulantes'!$W$2:$W$9</formula1>
    </dataValidation>
    <dataValidation type="list" operator="between" allowBlank="true" showInputMessage="true" showErrorMessage="true" sqref="L161:L166">
      <formula1>"Yes,No"</formula1>
    </dataValidation>
    <dataValidation type="list" operator="between" allowBlank="true" showInputMessage="true" showErrorMessage="true" sqref="L168:L172">
      <formula1>"Yes,No"</formula1>
    </dataValidation>
    <dataValidation type="whole" operator="between" allowBlank="true" showInputMessage="true" showErrorMessage="true" errorTitle="Battery capacity (mAh)" error="Integer size 5 expected or lenght characters exceeded" sqref="L176">
      <formula1>0</formula1>
      <formula2>99999</formula2>
    </dataValidation>
    <dataValidation type="list" operator="between" allowBlank="true" showInputMessage="true" showErrorMessage="true" sqref="L177">
      <formula1>"Li-Ion,Li-Poly,Li-Ion-Poly,Li-Technology,NiMH"</formula1>
    </dataValidation>
    <dataValidation type="list" operator="between" allowBlank="true" showInputMessage="true" showErrorMessage="true" sqref="L178">
      <formula1>"Yes,No"</formula1>
    </dataValidation>
    <dataValidation type="list" operator="between" allowBlank="true" showInputMessage="true" showErrorMessage="true" sqref="L179">
      <formula1>"No,Qi,Other"</formula1>
    </dataValidation>
    <dataValidation type="list" operator="between" allowBlank="true" showInputMessage="true" showErrorMessage="true" sqref="L180">
      <formula1>"No,Pump Express,Quick Charge 2.0,Other"</formula1>
    </dataValidation>
    <dataValidation type="list" operator="between" allowBlank="true" showInputMessage="true" showErrorMessage="true" sqref="L182">
      <formula1>"2TB,1TB,512GB,256GB,128GB,64GB,32GB,16GB,8GB,4GB,2GB,1GB,512MB,256MB,128MB"</formula1>
    </dataValidation>
    <dataValidation type="list" operator="between" allowBlank="true" showInputMessage="true" showErrorMessage="true" sqref="L183:L186">
      <formula1>"Yes,No"</formula1>
    </dataValidation>
    <dataValidation type="list" operator="between" allowBlank="true" showErrorMessage="true" sqref="L187">
      <formula1>='Listes deroulantes'!$S$2:$S$28</formula1>
    </dataValidation>
    <dataValidation type="list" operator="between" allowBlank="true" showInputMessage="true" showErrorMessage="true" sqref="L189:L198">
      <formula1>"Yes,No"</formula1>
    </dataValidation>
    <dataValidation type="list" operator="between" allowBlank="true" showInputMessage="true" showErrorMessage="true" sqref="L200:L202">
      <formula1>"Yes,No"</formula1>
    </dataValidation>
    <dataValidation type="list" operator="between" allowBlank="true" showInputMessage="true" showErrorMessage="true" sqref="L203">
      <formula1>"No,Picture Basic,Picture Rich,Video Basic,Video Rich,Megapixel,"</formula1>
    </dataValidation>
    <dataValidation type="list" operator="between" allowBlank="true" showInputMessage="true" showErrorMessage="true" sqref="L204">
      <formula1>"600 kB,300 kB,100 kB,30 kB"</formula1>
    </dataValidation>
    <dataValidation type="list" operator="between" allowBlank="true" showInputMessage="true" showErrorMessage="true" sqref="L205">
      <formula1>"No,Android Messages,OEM native messenger"</formula1>
    </dataValidation>
    <dataValidation type="list" operator="between" allowBlank="true" showInputMessage="true" showErrorMessage="true" sqref="L207">
      <formula1>"No,Integrated,Integrated AND Autofocus"</formula1>
    </dataValidation>
    <dataValidation type="list" operator="between" allowBlank="true" showInputMessage="true" showErrorMessage="true" sqref="L208">
      <formula1>"1,2,3,4,5"</formula1>
    </dataValidation>
    <dataValidation type="decimal" operator="between" allowBlank="true" showInputMessage="true" showErrorMessage="true" errorTitle="Main Camera1 resolution (Mpx)" error="numeric format expected - for instance 999,99 - or length characters exceeded" sqref="L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L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L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L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L213">
      <formula1>0</formula1>
      <formula2>999.99</formula2>
    </dataValidation>
    <dataValidation type="list" operator="between" allowBlank="true" showInputMessage="true" showErrorMessage="true" sqref="L214:L215">
      <formula1>"Yes,No"</formula1>
    </dataValidation>
    <dataValidation type="textLength" operator="between" allowBlank="true" showInputMessage="true" showErrorMessage="true" errorTitle="Main Camera comments" error="Alphanumeric size 500 characters exceeded" sqref="L216">
      <formula1>0</formula1>
      <formula2>500</formula2>
    </dataValidation>
    <dataValidation type="textLength" operator="between" allowBlank="true" showInputMessage="true" showErrorMessage="true" errorTitle="Main Camera Features" error="Alphanumeric size 500 characters exceeded" sqref="L217">
      <formula1>0</formula1>
      <formula2>500</formula2>
    </dataValidation>
    <dataValidation type="textLength" operator="between" allowBlank="true" showInputMessage="true" showErrorMessage="true" errorTitle="Main Camera video" error="Alphanumeric size 500 characters exceeded" sqref="L218">
      <formula1>0</formula1>
      <formula2>500</formula2>
    </dataValidation>
    <dataValidation type="list" operator="between" allowBlank="true" showInputMessage="true" showErrorMessage="true" sqref="L219">
      <formula1>"f/0.30,f/0.60,f/0.70,f/0.75,f/0.80,f/0.85,f/0.90,f/0.95,f/1.0,f/1.1,f/1.2,f/1.3,f/1.4,f/1.5,f/1.6,f/1.7,f/1.8,f/1.9,f/2.0,f/2.1,f/2.2,f/2.3,f/2.4,f/2.5,f/2.8,f/2.9,f/3.0"</formula1>
    </dataValidation>
    <dataValidation type="list" operator="between" allowBlank="true" showInputMessage="true" showErrorMessage="true" sqref="L220">
      <formula1>"Yes,No"</formula1>
    </dataValidation>
    <dataValidation type="list" operator="between" allowBlank="true" showInputMessage="true" showErrorMessage="true" sqref="L221">
      <formula1>"No,LED,2 LED,Xenon,Other"</formula1>
    </dataValidation>
    <dataValidation type="list" operator="between" allowBlank="true" showInputMessage="true" showErrorMessage="true" sqref="L223">
      <formula1>"No,Integrated,Integrated AND Autofocus"</formula1>
    </dataValidation>
    <dataValidation type="list" operator="between" allowBlank="true" showInputMessage="true" showErrorMessage="true" sqref="L224">
      <formula1>"1,2"</formula1>
    </dataValidation>
    <dataValidation type="decimal" operator="between" allowBlank="true" showInputMessage="true" showErrorMessage="true" errorTitle="Selfie Camera1 resolution (Mpx)" error="numeric format expected - for instance 999,99 - or length characters exceeded" sqref="L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L226">
      <formula1>0</formula1>
      <formula2>999.99</formula2>
    </dataValidation>
    <dataValidation type="list" operator="between" allowBlank="true" showInputMessage="true" showErrorMessage="true" sqref="L227:L228">
      <formula1>"Yes,No"</formula1>
    </dataValidation>
    <dataValidation type="textLength" operator="between" allowBlank="true" showInputMessage="true" showErrorMessage="true" errorTitle="Selfie Camera comments" error="Alphanumeric size 500 characters exceeded" sqref="L229">
      <formula1>0</formula1>
      <formula2>500</formula2>
    </dataValidation>
    <dataValidation type="textLength" operator="between" allowBlank="true" showInputMessage="true" showErrorMessage="true" errorTitle="Selfie Camera Features" error="Alphanumeric size 500 characters exceeded" sqref="L230">
      <formula1>0</formula1>
      <formula2>500</formula2>
    </dataValidation>
    <dataValidation type="textLength" operator="between" allowBlank="true" showInputMessage="true" showErrorMessage="true" errorTitle="Selfie Camera video" error="Alphanumeric size 500 characters exceeded" sqref="L231">
      <formula1>0</formula1>
      <formula2>500</formula2>
    </dataValidation>
    <dataValidation type="list" operator="between" allowBlank="true" showInputMessage="true" showErrorMessage="true" sqref="L233:L239">
      <formula1>"Yes,No"</formula1>
    </dataValidation>
    <dataValidation type="list" operator="between" allowBlank="true" showInputMessage="true" showErrorMessage="true" sqref="L241">
      <formula1>"Yes,No"</formula1>
    </dataValidation>
    <dataValidation type="list" operator="between" allowBlank="true" showInputMessage="true" showErrorMessage="true" sqref="L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L244">
      <formula1>0</formula1>
      <formula2>9.99</formula2>
    </dataValidation>
    <dataValidation type="decimal" operator="between" allowBlank="true" showInputMessage="true" showErrorMessage="true" errorTitle="SAR head (Watt/kg)" error="numeric format expected - for instance 9,999 - or length characters exceeded" sqref="L245:L246">
      <formula1>0</formula1>
      <formula2>9.99</formula2>
    </dataValidation>
    <dataValidation type="decimal" operator="between" allowBlank="true" showInputMessage="true" showErrorMessage="true" errorTitle="Production value (kg CO2eq) " error="Numeric expected with max size 99,99" sqref="L249">
      <formula1>0</formula1>
      <formula2>99.99</formula2>
    </dataValidation>
    <dataValidation type="decimal" operator="between" allowBlank="true" showInputMessage="true" showErrorMessage="true" errorTitle="Transportation value (kg CO2eq)" error="Numeric expected with max size 99,99" sqref="L250">
      <formula1>0</formula1>
      <formula2>99.99</formula2>
    </dataValidation>
    <dataValidation type="list" operator="between" allowBlank="true" showInputMessage="true" showErrorMessage="true" error="Integer expected with max size 100" sqref="L252">
      <formula1>"R02,R03,R04,R05"</formula1>
    </dataValidation>
    <dataValidation type="decimal" operator="between" allowBlank="true" showInputMessage="true" showErrorMessage="true" errorTitle="Production value (kg CO2eq) " error="Numeric expected with max size 99,99" sqref="L253">
      <formula1>0</formula1>
      <formula2>99.99</formula2>
    </dataValidation>
    <dataValidation type="decimal" operator="between" allowBlank="true" showInputMessage="true" showErrorMessage="true" errorTitle="Adjustment for memory variant" error="-101&lt;Value expected&lt;101" sqref="L254">
      <formula1>-100.99</formula1>
      <formula2>100.99</formula2>
    </dataValidation>
    <dataValidation type="decimal" operator="between" allowBlank="true" showInputMessage="true" showErrorMessage="true" errorTitle="Transportation value (kg CO2eq)" error="Numeric expected with max size 99,99" sqref="L255">
      <formula1>0</formula1>
      <formula2>99.99</formula2>
    </dataValidation>
    <dataValidation type="decimal" operator="between" allowBlank="true" showInputMessage="true" showErrorMessage="true" errorTitle="Production value (kg CO2eq) " error="Numeric expected with max size 99,99" sqref="L257">
      <formula1>0</formula1>
      <formula2>99.99</formula2>
    </dataValidation>
    <dataValidation type="decimal" operator="between" allowBlank="true" showInputMessage="true" showErrorMessage="true" errorTitle="Adjustment for memory variant" error="-101&lt;Value expected&lt;101" sqref="L258">
      <formula1>-100.99</formula1>
      <formula2>100.99</formula2>
    </dataValidation>
    <dataValidation type="decimal" operator="between" allowBlank="true" showInputMessage="true" showErrorMessage="true" errorTitle="Transportation value (kg CO2eq)" error="Numeric expected with max size 99,99" sqref="L259">
      <formula1>0</formula1>
      <formula2>99.99</formula2>
    </dataValidation>
    <dataValidation type="list" operator="between" allowBlank="true" showInputMessage="true" showErrorMessage="true" sqref="L260">
      <formula1>"World,EU,MEA"</formula1>
    </dataValidation>
    <dataValidation type="whole" operator="between" allowBlank="true" showInputMessage="true" showErrorMessage="true" error="Integer expected with max size 100" sqref="L265">
      <formula1>43101</formula1>
      <formula2>54788</formula2>
    </dataValidation>
    <dataValidation type="decimal" operator="between" allowBlank="true" showInputMessage="true" showErrorMessage="true" error="Numeric range expected from 0,00 to 999,99" sqref="L266">
      <formula1>0</formula1>
      <formula2>999.99</formula2>
    </dataValidation>
    <dataValidation type="date" operator="between" allowBlank="true" showInputMessage="true" showErrorMessage="true" error="Integer expected with max size 100" sqref="L267">
      <formula1>43101</formula1>
      <formula2>54788</formula2>
    </dataValidation>
    <dataValidation type="decimal" operator="between" allowBlank="true" showInputMessage="true" showErrorMessage="true" error="Numeric range expected from 0,00 to 999,99" sqref="L268">
      <formula1>0</formula1>
      <formula2>999.99</formula2>
    </dataValidation>
    <dataValidation type="whole" operator="between" allowBlank="true" showInputMessage="true" showErrorMessage="true" error="Integer expected with max size 100" sqref="L272">
      <formula1>43101</formula1>
      <formula2>54788</formula2>
    </dataValidation>
    <dataValidation type="decimal" operator="between" allowBlank="true" showInputMessage="true" showErrorMessage="true" error="Numeric range expected from 0,00 to 999,99" sqref="L273">
      <formula1>0</formula1>
      <formula2>999.99</formula2>
    </dataValidation>
    <dataValidation type="date" operator="between" allowBlank="true" showInputMessage="true" showErrorMessage="true" error="Integer expected with max size 100" sqref="L274">
      <formula1>43101</formula1>
      <formula2>54788</formula2>
    </dataValidation>
    <dataValidation type="decimal" operator="between" allowBlank="true" showInputMessage="true" showErrorMessage="true" error="Numeric range expected from 0,00 to 999,99" sqref="L275">
      <formula1>0</formula1>
      <formula2>999.99</formula2>
    </dataValidation>
    <dataValidation type="whole" operator="between" allowBlank="true" showInputMessage="true" showErrorMessage="true" error="Integer expected with max size 100" sqref="L279">
      <formula1>43101</formula1>
      <formula2>54788</formula2>
    </dataValidation>
    <dataValidation type="decimal" operator="between" allowBlank="true" showInputMessage="true" showErrorMessage="true" error="Numeric range expected from 0,00 to 999,99" sqref="L280">
      <formula1>0</formula1>
      <formula2>999.99</formula2>
    </dataValidation>
    <dataValidation type="date" operator="between" allowBlank="true" showInputMessage="true" showErrorMessage="true" error="Integer expected with max size 100" sqref="L281">
      <formula1>43101</formula1>
      <formula2>54788</formula2>
    </dataValidation>
    <dataValidation type="decimal" operator="between" allowBlank="true" showInputMessage="true" showErrorMessage="true" error="Numeric range expected from 0,00 to 999,99" sqref="L282">
      <formula1>0</formula1>
      <formula2>999.99</formula2>
    </dataValidation>
    <dataValidation type="textLength" errorStyle="stop" operator="between" allowBlank="true" showDropDown="false" showInputMessage="true" showErrorMessage="true" prompt="" sqref="M2">
      <formula1>1</formula1>
      <formula2>10000</formula2>
    </dataValidation>
    <dataValidation type="list" operator="between" allowBlank="true" showInputMessage="true" showErrorMessage="true" sqref="M6">
      <formula1>"Mobile,Tablet"</formula1>
    </dataValidation>
    <dataValidation type="textLength" operator="between" allowBlank="true" showInputMessage="true" showErrorMessage="true" errorTitle="Brand name" error="Alphanumeric size from 3 to 50 characters" sqref="M7">
      <formula1>3</formula1>
      <formula2>50</formula2>
    </dataValidation>
    <dataValidation type="textLength" operator="between" allowBlank="true" showInputMessage="true" showErrorMessage="true" errorTitle="GCF Model name" error="Alphanumeric size 64 characters exceeded" sqref="M8">
      <formula1>0</formula1>
      <formula2>64</formula2>
    </dataValidation>
    <dataValidation type="textLength" operator="between" allowBlank="true" showInputMessage="true" showErrorMessage="true" errorTitle="Comments" error="Alphanumeric size 2000 characters exceeded" sqref="M9">
      <formula1>0</formula1>
      <formula2>2000</formula2>
    </dataValidation>
    <dataValidation type="date" operator="between" allowBlank="true" showErrorMessage="true" errorTitle="Marketing samples availability" error="Date expected" sqref="M10">
      <formula1>43101</formula1>
      <formula2>54788</formula2>
    </dataValidation>
    <dataValidation type="date" operator="between" allowBlank="true" showErrorMessage="true" errorTitle="Technical samples availability" error="Date expected" sqref="M11">
      <formula1>43101</formula1>
      <formula2>54788</formula2>
    </dataValidation>
    <dataValidation type="date" operator="between" allowBlank="true" showErrorMessage="true" errorTitle="Expected Generic Street Launch" error="Date expected" sqref="M12">
      <formula1>43101</formula1>
      <formula2>54788</formula2>
    </dataValidation>
    <dataValidation type="date" operator="between" allowBlank="true" showErrorMessage="true" errorTitle="Expected availability warehouse" error="Date expected" sqref="M13">
      <formula1>43101</formula1>
      <formula2>54788</formula2>
    </dataValidation>
    <dataValidation type="date" operator="between" allowBlank="true" showErrorMessage="true" errorTitle="GCF date" error="Date expected" sqref="M14:M15">
      <formula1>43101</formula1>
      <formula2>54788</formula2>
    </dataValidation>
    <dataValidation type="date" operator="between" allowBlank="true" showErrorMessage="true" errorTitle="Wi-Fi alliance date" error="Date expected" sqref="M16">
      <formula1>43101</formula1>
      <formula2>54788</formula2>
    </dataValidation>
    <dataValidation type="list" operator="between" allowBlank="true" showInputMessage="true" showErrorMessage="true" sqref="M17">
      <formula1>"Flagship,Everyday Superphone,Essential Smartphone,Voice,Not applicable"</formula1>
    </dataValidation>
    <dataValidation type="decimal" operator="between" allowBlank="true" showInputMessage="true" showErrorMessage="true" errorTitle="Repairability index" error="Numeric expected with max size 10,00" sqref="M18">
      <formula1>0</formula1>
      <formula2>10</formula2>
    </dataValidation>
    <dataValidation type="textLength" operator="between" allowBlank="true" showInputMessage="true" showErrorMessage="true" errorTitle="Comments" error="Alphanumeric size 2000 characters exceeded" sqref="M19">
      <formula1>0</formula1>
      <formula2>2000</formula2>
    </dataValidation>
    <dataValidation type="textLength" operator="between" allowBlank="true" showInputMessage="true" showErrorMessage="true" errorTitle="Commercial name" error="Alphanumeric size 120 characters exceeded" sqref="M21">
      <formula1>0</formula1>
      <formula2>120</formula2>
    </dataValidation>
    <dataValidation type="textLength" operator="between" allowBlank="true" showInputMessage="true" showErrorMessage="true" errorTitle="Orange Variant name" error="Alphanumeric size 120 characters exceeded" sqref="M22">
      <formula1>0</formula1>
      <formula2>240</formula2>
    </dataValidation>
    <dataValidation type="list" operator="between" allowBlank="true" showInputMessage="true" showErrorMessage="true" sqref="M23">
      <formula1>"ODM - OBD, ODM - Not OBD"</formula1>
    </dataValidation>
    <dataValidation type="list" operator="between" allowBlank="true" showInputMessage="true" showErrorMessage="true" sqref="M24">
      <formula1>"Flagship,Everyday Superphone,Essential Smartphone,Voice,Not applicable"</formula1>
    </dataValidation>
    <dataValidation type="list" operator="between" allowBlank="true" showInputMessage="true" showErrorMessage="true" sqref="M25">
      <formula1>"Essential Smartphone High,Essential Smartphone Entry,Not applicable"</formula1>
    </dataValidation>
    <dataValidation type="list" operator="between" allowBlank="true" showInputMessage="true" showErrorMessage="true" sqref="M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M29">
      <formula1>0</formula1>
      <formula2>50</formula2>
    </dataValidation>
    <dataValidation type="textLength" operator="between" allowBlank="true" showInputMessage="true" showErrorMessage="true" errorTitle="Hardware Platform ref name" error="Alphanumeric size 50 characters exceeded" sqref="M30">
      <formula1>0</formula1>
      <formula2>50</formula2>
    </dataValidation>
    <dataValidation type="list" operator="between" allowBlank="true" showInputMessage="true" showErrorMessage="true" sqref="M31">
      <formula1>='Listes deroulantes'!$U$2:$U$28</formula1>
    </dataValidation>
    <dataValidation type="textLength" operator="between" allowBlank="true" showInputMessage="true" showErrorMessage="true" errorTitle="Baseband chipset name" error="Alphanumeric size 50 characters exceeded" sqref="M32">
      <formula1>0</formula1>
      <formula2>50</formula2>
    </dataValidation>
    <dataValidation type="list" operator="between" allowBlank="true" showInputMessage="true" showErrorMessage="true" sqref="M33">
      <formula1>"0,1,2,3,4,6,8,Others"</formula1>
    </dataValidation>
    <dataValidation type="list" operator="between" allowBlank="true" showInputMessage="true" showErrorMessage="true" sqref="M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M37">
      <formula1>0</formula1>
      <formula2>10</formula2>
    </dataValidation>
    <dataValidation type="textLength" operator="between" allowBlank="true" showInputMessage="true" showErrorMessage="true" errorTitle="Nb of OS Android patch upgrade" error="Integer size 2 characters exceeded" sqref="M38">
      <formula1>0</formula1>
      <formula2>2</formula2>
    </dataValidation>
    <dataValidation type="textLength" operator="between" allowBlank="true" showInputMessage="true" showErrorMessage="true" errorTitle="OS Android patch upgrade (years)" error="Integer size 2 characters exceeded" sqref="M39">
      <formula1>0</formula1>
      <formula2>2</formula2>
    </dataValidation>
    <dataValidation type="list" operator="between" allowBlank="true" showInputMessage="true" showErrorMessage="true" errorTitle="Frequency Android OS security" error="Value not allowed, select value from drop down menu" sqref="M40">
      <formula1>"Monthly,Quarterly,Half-yearly,Yearly"</formula1>
    </dataValidation>
    <dataValidation type="list" operator="between" allowBlank="true" showInputMessage="true" showErrorMessage="true" sqref="M42:M48">
      <formula1>"Yes,No"</formula1>
    </dataValidation>
    <dataValidation type="list" operator="between" allowBlank="true" showInputMessage="true" showErrorMessage="true" sqref="M49">
      <formula1>"FDD,TDD,FDD / TDD"</formula1>
    </dataValidation>
    <dataValidation type="list" operator="between" allowBlank="true" showInputMessage="true" showErrorMessage="true" sqref="M50">
      <formula1>='Listes deroulantes'!$A$2:$A$32</formula1>
    </dataValidation>
    <dataValidation type="list" operator="between" allowBlank="true" showInputMessage="true" showErrorMessage="true" sqref="M51">
      <formula1>='Listes deroulantes'!$E$2:$E$26</formula1>
    </dataValidation>
    <dataValidation type="list" operator="between" allowBlank="true" showInputMessage="true" showErrorMessage="true" sqref="M52">
      <formula1>='Listes deroulantes'!$C$2:$C$23</formula1>
    </dataValidation>
    <dataValidation type="list" operator="between" allowBlank="true" showInputMessage="true" showErrorMessage="true" sqref="M53:M56">
      <formula1>"Yes,No"</formula1>
    </dataValidation>
    <dataValidation type="list" operator="between" allowBlank="true" showInputMessage="true" showErrorMessage="true" sqref="M57">
      <formula1>"No,2x2,4x4,4x2"</formula1>
    </dataValidation>
    <dataValidation type="list" operator="between" allowBlank="true" showInputMessage="true" showErrorMessage="true" sqref="M58">
      <formula1>"No,2x2"</formula1>
    </dataValidation>
    <dataValidation type="list" operator="between" allowBlank="true" showInputMessage="true" showErrorMessage="true" sqref="M59">
      <formula1>"No,2,3,4,5,6,7,8"</formula1>
    </dataValidation>
    <dataValidation type="list" operator="between" allowBlank="true" showInputMessage="true" showErrorMessage="true" sqref="M60">
      <formula1>='Listes deroulantes'!$G$2:$G$5</formula1>
    </dataValidation>
    <dataValidation type="list" operator="between" allowBlank="true" showInputMessage="true" showErrorMessage="true" sqref="M61">
      <formula1>='Listes deroulantes'!$I$2:$I$3</formula1>
    </dataValidation>
    <dataValidation type="list" operator="between" allowBlank="true" showInputMessage="true" showErrorMessage="true" sqref="M62">
      <formula1>='Listes deroulantes'!$K$2:$K$4</formula1>
    </dataValidation>
    <dataValidation type="list" operator="between" allowBlank="true" showInputMessage="true" showErrorMessage="true" sqref="M64:M97">
      <formula1>"Yes,No"</formula1>
    </dataValidation>
    <dataValidation type="list" operator="between" allowBlank="true" showInputMessage="true" showErrorMessage="true" sqref="M98:M99">
      <formula1>='Listes deroulantes'!$I$2:$I$3</formula1>
    </dataValidation>
    <dataValidation type="list" operator="between" allowBlank="true" showInputMessage="true" showErrorMessage="true" sqref="M100">
      <formula1>='Listes deroulantes'!$M$2:$M$18</formula1>
    </dataValidation>
    <dataValidation type="list" operator="between" allowBlank="true" showInputMessage="true" showErrorMessage="true" sqref="M101">
      <formula1>='Listes deroulantes'!$O$2:$O$4</formula1>
    </dataValidation>
    <dataValidation type="decimal" operator="between" allowBlank="true" showInputMessage="true" showErrorMessage="true" errorTitle="Weight (g)" error="numeric format expected - for instance 999,99 maximum - or length characters exceeded" sqref="M103:M106">
      <formula1>0</formula1>
      <formula2>999.99</formula2>
    </dataValidation>
    <dataValidation type="list" operator="between" allowBlank="true" showInputMessage="true" showErrorMessage="true" sqref="M107">
      <formula1>"Bar,Messenger bar,Clamshell,Slide,Touch,Messenger/sliding touch,Other"</formula1>
    </dataValidation>
    <dataValidation type="list" operator="between" allowBlank="true" showInputMessage="true" showErrorMessage="true" sqref="M108:M109">
      <formula1>"Yes,No"</formula1>
    </dataValidation>
    <dataValidation type="list" operator="between" allowBlank="true" showInputMessage="true" showErrorMessage="true" sqref="M110">
      <formula1>"Hard AZERTY/QWERTY,Touch AZERTY/QWERTY,Hard 20 keys,Numeric keypad only	"</formula1>
    </dataValidation>
    <dataValidation type="list" operator="between" allowBlank="true" showInputMessage="true" showErrorMessage="true" sqref="M111">
      <formula1>"Yes,No"</formula1>
    </dataValidation>
    <dataValidation type="list" operator="between" allowBlank="true" showInputMessage="true" showErrorMessage="true" sqref="M112">
      <formula1>"2m,1.8m,1.5m,1.2m,1.0m,&lt;1.0m"</formula1>
    </dataValidation>
    <dataValidation type="list" operator="between" allowBlank="true" showInputMessage="true" showErrorMessage="true" sqref="M113">
      <formula1>"IP52,IP54,IP57,IP58,IP64,IP67,IP68,Not known,Other"</formula1>
    </dataValidation>
    <dataValidation type="list" operator="between" allowBlank="true" showInputMessage="true" showErrorMessage="true" sqref="M114:M115">
      <formula1>"Yes,No"</formula1>
    </dataValidation>
    <dataValidation type="decimal" operator="between" allowBlank="true" showInputMessage="true" showErrorMessage="true" errorTitle="Screen size (in inches) diagonal" error="numeric format expected - for instance 99,99 - or length characters exceeded" sqref="M117">
      <formula1>0</formula1>
      <formula2>99.99</formula2>
    </dataValidation>
    <dataValidation type="whole" operator="between" allowBlank="true" showInputMessage="true" showErrorMessage="true" errorTitle="Width (px)" error="Integer size 4 expected or lenght characters exceeded" sqref="M118">
      <formula1>0</formula1>
      <formula2>9999</formula2>
    </dataValidation>
    <dataValidation type="whole" operator="between" allowBlank="true" showInputMessage="true" showErrorMessage="true" errorTitle="Height (px)" error="Integer size 4 expected or lenght characters exceeded" sqref="M119">
      <formula1>0</formula1>
      <formula2>9999</formula2>
    </dataValidation>
    <dataValidation type="list" operator="between" allowBlank="true" showInputMessage="true" showErrorMessage="true" sqref="M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M121">
      <formula1>0</formula1>
      <formula2>9999</formula2>
    </dataValidation>
    <dataValidation type="textLength" operator="between" allowBlank="true" showInputMessage="true" showErrorMessage="true" errorTitle="Contrast ratio" error="Expected length 0&lt;= value length &lt;51" sqref="M122">
      <formula1>0</formula1>
      <formula2>50</formula2>
    </dataValidation>
    <dataValidation type="textLength" operator="between" allowBlank="true" showInputMessage="true" showErrorMessage="true" errorTitle="Brightness (cd/m2)" error="Expected length 0&lt;= value length &lt;51" sqref="M123">
      <formula1>0</formula1>
      <formula2>50</formula2>
    </dataValidation>
    <dataValidation type="list" operator="between" allowBlank="true" showInputMessage="true" showErrorMessage="true" sqref="M124:M126">
      <formula1>"Yes,No"</formula1>
    </dataValidation>
    <dataValidation type="list" operator="between" allowBlank="true" showInputMessage="true" showErrorMessage="true" sqref="M128">
      <formula1>"Yes,No"</formula1>
    </dataValidation>
    <dataValidation type="list" operator="between" allowBlank="true" showInputMessage="true" showErrorMessage="true" sqref="M129">
      <formula1>"No,2,3,4,5,More"</formula1>
    </dataValidation>
    <dataValidation type="list" operator="between" allowBlank="true" showInputMessage="true" showErrorMessage="true" sqref="M130">
      <formula1>"No,2FF,3FF (MicroSIM),4FF (nano SIM),e-SIM,e-SIM or 4FF (nano SIM)"</formula1>
    </dataValidation>
    <dataValidation type="list" operator="between" allowBlank="true" showInputMessage="true" showErrorMessage="true" sqref="M132">
      <formula1>='Listes deroulantes'!$U$2:$U$28</formula1>
    </dataValidation>
    <dataValidation type="textLength" operator="between" allowBlank="true" showInputMessage="true" showErrorMessage="true" errorTitle="Wi-FI chipset name" error="Alphanumeric size 50 characters exceeded" sqref="M133">
      <formula1>0</formula1>
      <formula2>50</formula2>
    </dataValidation>
    <dataValidation type="list" operator="between" allowBlank="true" showInputMessage="true" showErrorMessage="true" sqref="M134:M148">
      <formula1>"Yes,No"</formula1>
    </dataValidation>
    <dataValidation type="list" operator="between" allowBlank="true" showInputMessage="true" showErrorMessage="true" sqref="M149">
      <formula1>"2x2,4x4,6x6,8x8"</formula1>
    </dataValidation>
    <dataValidation type="list" operator="between" allowBlank="true" showInputMessage="true" showErrorMessage="true" sqref="M150">
      <formula1>='Listes deroulantes'!$V$2:$V$16</formula1>
    </dataValidation>
    <dataValidation type="textLength" operator="between" allowBlank="true" showInputMessage="true" showErrorMessage="true" errorTitle="Bluetooth Profile" error="Alphanumeric size 100 characters exceeded" sqref="M151">
      <formula1>0</formula1>
      <formula2>100</formula2>
    </dataValidation>
    <dataValidation type="list" operator="between" allowBlank="true" showInputMessage="true" showErrorMessage="true" sqref="M152:M154">
      <formula1>"Yes,No"</formula1>
    </dataValidation>
    <dataValidation type="list" operator="between" allowBlank="true" showInputMessage="true" showErrorMessage="true" sqref="M158">
      <formula1>"No,A-GPS,GPS Standalone,GNSS"</formula1>
    </dataValidation>
    <dataValidation type="list" operator="between" allowBlank="true" showInputMessage="true" showErrorMessage="true" sqref="M159">
      <formula1>='Listes deroulantes'!$Q$2:$Q$10</formula1>
    </dataValidation>
    <dataValidation type="list" operator="between" allowBlank="true" showInputMessage="true" showErrorMessage="true" sqref="M160">
      <formula1>='Listes deroulantes'!$W$2:$W$9</formula1>
    </dataValidation>
    <dataValidation type="list" operator="between" allowBlank="true" showInputMessage="true" showErrorMessage="true" sqref="M161:M166">
      <formula1>"Yes,No"</formula1>
    </dataValidation>
    <dataValidation type="list" operator="between" allowBlank="true" showInputMessage="true" showErrorMessage="true" sqref="M168:M172">
      <formula1>"Yes,No"</formula1>
    </dataValidation>
    <dataValidation type="whole" operator="between" allowBlank="true" showInputMessage="true" showErrorMessage="true" errorTitle="Battery capacity (mAh)" error="Integer size 5 expected or lenght characters exceeded" sqref="M176">
      <formula1>0</formula1>
      <formula2>99999</formula2>
    </dataValidation>
    <dataValidation type="list" operator="between" allowBlank="true" showInputMessage="true" showErrorMessage="true" sqref="M177">
      <formula1>"Li-Ion,Li-Poly,Li-Ion-Poly,Li-Technology,NiMH"</formula1>
    </dataValidation>
    <dataValidation type="list" operator="between" allowBlank="true" showInputMessage="true" showErrorMessage="true" sqref="M178">
      <formula1>"Yes,No"</formula1>
    </dataValidation>
    <dataValidation type="list" operator="between" allowBlank="true" showInputMessage="true" showErrorMessage="true" sqref="M179">
      <formula1>"No,Qi,Other"</formula1>
    </dataValidation>
    <dataValidation type="list" operator="between" allowBlank="true" showInputMessage="true" showErrorMessage="true" sqref="M180">
      <formula1>"No,Pump Express,Quick Charge 2.0,Other"</formula1>
    </dataValidation>
    <dataValidation type="list" operator="between" allowBlank="true" showInputMessage="true" showErrorMessage="true" sqref="M182">
      <formula1>"2TB,1TB,512GB,256GB,128GB,64GB,32GB,16GB,8GB,4GB,2GB,1GB,512MB,256MB,128MB"</formula1>
    </dataValidation>
    <dataValidation type="list" operator="between" allowBlank="true" showInputMessage="true" showErrorMessage="true" sqref="M183:M186">
      <formula1>"Yes,No"</formula1>
    </dataValidation>
    <dataValidation type="list" operator="between" allowBlank="true" showErrorMessage="true" sqref="M187">
      <formula1>='Listes deroulantes'!$S$2:$S$28</formula1>
    </dataValidation>
    <dataValidation type="list" operator="between" allowBlank="true" showInputMessage="true" showErrorMessage="true" sqref="M189:M198">
      <formula1>"Yes,No"</formula1>
    </dataValidation>
    <dataValidation type="list" operator="between" allowBlank="true" showInputMessage="true" showErrorMessage="true" sqref="M200:M202">
      <formula1>"Yes,No"</formula1>
    </dataValidation>
    <dataValidation type="list" operator="between" allowBlank="true" showInputMessage="true" showErrorMessage="true" sqref="M203">
      <formula1>"No,Picture Basic,Picture Rich,Video Basic,Video Rich,Megapixel,"</formula1>
    </dataValidation>
    <dataValidation type="list" operator="between" allowBlank="true" showInputMessage="true" showErrorMessage="true" sqref="M204">
      <formula1>"600 kB,300 kB,100 kB,30 kB"</formula1>
    </dataValidation>
    <dataValidation type="list" operator="between" allowBlank="true" showInputMessage="true" showErrorMessage="true" sqref="M205">
      <formula1>"No,Android Messages,OEM native messenger"</formula1>
    </dataValidation>
    <dataValidation type="list" operator="between" allowBlank="true" showInputMessage="true" showErrorMessage="true" sqref="M207">
      <formula1>"No,Integrated,Integrated AND Autofocus"</formula1>
    </dataValidation>
    <dataValidation type="list" operator="between" allowBlank="true" showInputMessage="true" showErrorMessage="true" sqref="M208">
      <formula1>"1,2,3,4,5"</formula1>
    </dataValidation>
    <dataValidation type="decimal" operator="between" allowBlank="true" showInputMessage="true" showErrorMessage="true" errorTitle="Main Camera1 resolution (Mpx)" error="numeric format expected - for instance 999,99 - or length characters exceeded" sqref="M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M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M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M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M213">
      <formula1>0</formula1>
      <formula2>999.99</formula2>
    </dataValidation>
    <dataValidation type="list" operator="between" allowBlank="true" showInputMessage="true" showErrorMessage="true" sqref="M214:M215">
      <formula1>"Yes,No"</formula1>
    </dataValidation>
    <dataValidation type="textLength" operator="between" allowBlank="true" showInputMessage="true" showErrorMessage="true" errorTitle="Main Camera comments" error="Alphanumeric size 500 characters exceeded" sqref="M216">
      <formula1>0</formula1>
      <formula2>500</formula2>
    </dataValidation>
    <dataValidation type="textLength" operator="between" allowBlank="true" showInputMessage="true" showErrorMessage="true" errorTitle="Main Camera Features" error="Alphanumeric size 500 characters exceeded" sqref="M217">
      <formula1>0</formula1>
      <formula2>500</formula2>
    </dataValidation>
    <dataValidation type="textLength" operator="between" allowBlank="true" showInputMessage="true" showErrorMessage="true" errorTitle="Main Camera video" error="Alphanumeric size 500 characters exceeded" sqref="M218">
      <formula1>0</formula1>
      <formula2>500</formula2>
    </dataValidation>
    <dataValidation type="list" operator="between" allowBlank="true" showInputMessage="true" showErrorMessage="true" sqref="M219">
      <formula1>"f/0.30,f/0.60,f/0.70,f/0.75,f/0.80,f/0.85,f/0.90,f/0.95,f/1.0,f/1.1,f/1.2,f/1.3,f/1.4,f/1.5,f/1.6,f/1.7,f/1.8,f/1.9,f/2.0,f/2.1,f/2.2,f/2.3,f/2.4,f/2.5,f/2.8,f/2.9,f/3.0"</formula1>
    </dataValidation>
    <dataValidation type="list" operator="between" allowBlank="true" showInputMessage="true" showErrorMessage="true" sqref="M220">
      <formula1>"Yes,No"</formula1>
    </dataValidation>
    <dataValidation type="list" operator="between" allowBlank="true" showInputMessage="true" showErrorMessage="true" sqref="M221">
      <formula1>"No,LED,2 LED,Xenon,Other"</formula1>
    </dataValidation>
    <dataValidation type="list" operator="between" allowBlank="true" showInputMessage="true" showErrorMessage="true" sqref="M223">
      <formula1>"No,Integrated,Integrated AND Autofocus"</formula1>
    </dataValidation>
    <dataValidation type="list" operator="between" allowBlank="true" showInputMessage="true" showErrorMessage="true" sqref="M224">
      <formula1>"1,2"</formula1>
    </dataValidation>
    <dataValidation type="decimal" operator="between" allowBlank="true" showInputMessage="true" showErrorMessage="true" errorTitle="Selfie Camera1 resolution (Mpx)" error="numeric format expected - for instance 999,99 - or length characters exceeded" sqref="M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M226">
      <formula1>0</formula1>
      <formula2>999.99</formula2>
    </dataValidation>
    <dataValidation type="list" operator="between" allowBlank="true" showInputMessage="true" showErrorMessage="true" sqref="M227:M228">
      <formula1>"Yes,No"</formula1>
    </dataValidation>
    <dataValidation type="textLength" operator="between" allowBlank="true" showInputMessage="true" showErrorMessage="true" errorTitle="Selfie Camera comments" error="Alphanumeric size 500 characters exceeded" sqref="M229">
      <formula1>0</formula1>
      <formula2>500</formula2>
    </dataValidation>
    <dataValidation type="textLength" operator="between" allowBlank="true" showInputMessage="true" showErrorMessage="true" errorTitle="Selfie Camera Features" error="Alphanumeric size 500 characters exceeded" sqref="M230">
      <formula1>0</formula1>
      <formula2>500</formula2>
    </dataValidation>
    <dataValidation type="textLength" operator="between" allowBlank="true" showInputMessage="true" showErrorMessage="true" errorTitle="Selfie Camera video" error="Alphanumeric size 500 characters exceeded" sqref="M231">
      <formula1>0</formula1>
      <formula2>500</formula2>
    </dataValidation>
    <dataValidation type="list" operator="between" allowBlank="true" showInputMessage="true" showErrorMessage="true" sqref="M233:M239">
      <formula1>"Yes,No"</formula1>
    </dataValidation>
    <dataValidation type="list" operator="between" allowBlank="true" showInputMessage="true" showErrorMessage="true" sqref="M241">
      <formula1>"Yes,No"</formula1>
    </dataValidation>
    <dataValidation type="list" operator="between" allowBlank="true" showInputMessage="true" showErrorMessage="true" sqref="M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M244">
      <formula1>0</formula1>
      <formula2>9.99</formula2>
    </dataValidation>
    <dataValidation type="decimal" operator="between" allowBlank="true" showInputMessage="true" showErrorMessage="true" errorTitle="SAR head (Watt/kg)" error="numeric format expected - for instance 9,999 - or length characters exceeded" sqref="M245:M246">
      <formula1>0</formula1>
      <formula2>9.99</formula2>
    </dataValidation>
    <dataValidation type="decimal" operator="between" allowBlank="true" showInputMessage="true" showErrorMessage="true" errorTitle="Production value (kg CO2eq) " error="Numeric expected with max size 99,99" sqref="M249">
      <formula1>0</formula1>
      <formula2>99.99</formula2>
    </dataValidation>
    <dataValidation type="decimal" operator="between" allowBlank="true" showInputMessage="true" showErrorMessage="true" errorTitle="Transportation value (kg CO2eq)" error="Numeric expected with max size 99,99" sqref="M250">
      <formula1>0</formula1>
      <formula2>99.99</formula2>
    </dataValidation>
    <dataValidation type="list" operator="between" allowBlank="true" showInputMessage="true" showErrorMessage="true" error="Integer expected with max size 100" sqref="M252">
      <formula1>"R02,R03,R04,R05"</formula1>
    </dataValidation>
    <dataValidation type="decimal" operator="between" allowBlank="true" showInputMessage="true" showErrorMessage="true" errorTitle="Production value (kg CO2eq) " error="Numeric expected with max size 99,99" sqref="M253">
      <formula1>0</formula1>
      <formula2>99.99</formula2>
    </dataValidation>
    <dataValidation type="decimal" operator="between" allowBlank="true" showInputMessage="true" showErrorMessage="true" errorTitle="Adjustment for memory variant" error="-101&lt;Value expected&lt;101" sqref="M254">
      <formula1>-100.99</formula1>
      <formula2>100.99</formula2>
    </dataValidation>
    <dataValidation type="decimal" operator="between" allowBlank="true" showInputMessage="true" showErrorMessage="true" errorTitle="Transportation value (kg CO2eq)" error="Numeric expected with max size 99,99" sqref="M255">
      <formula1>0</formula1>
      <formula2>99.99</formula2>
    </dataValidation>
    <dataValidation type="decimal" operator="between" allowBlank="true" showInputMessage="true" showErrorMessage="true" errorTitle="Production value (kg CO2eq) " error="Numeric expected with max size 99,99" sqref="M257">
      <formula1>0</formula1>
      <formula2>99.99</formula2>
    </dataValidation>
    <dataValidation type="decimal" operator="between" allowBlank="true" showInputMessage="true" showErrorMessage="true" errorTitle="Adjustment for memory variant" error="-101&lt;Value expected&lt;101" sqref="M258">
      <formula1>-100.99</formula1>
      <formula2>100.99</formula2>
    </dataValidation>
    <dataValidation type="decimal" operator="between" allowBlank="true" showInputMessage="true" showErrorMessage="true" errorTitle="Transportation value (kg CO2eq)" error="Numeric expected with max size 99,99" sqref="M259">
      <formula1>0</formula1>
      <formula2>99.99</formula2>
    </dataValidation>
    <dataValidation type="list" operator="between" allowBlank="true" showInputMessage="true" showErrorMessage="true" sqref="M260">
      <formula1>"World,EU,MEA"</formula1>
    </dataValidation>
    <dataValidation type="whole" operator="between" allowBlank="true" showInputMessage="true" showErrorMessage="true" error="Integer expected with max size 100" sqref="M265">
      <formula1>43101</formula1>
      <formula2>54788</formula2>
    </dataValidation>
    <dataValidation type="decimal" operator="between" allowBlank="true" showInputMessage="true" showErrorMessage="true" error="Numeric range expected from 0,00 to 999,99" sqref="M266">
      <formula1>0</formula1>
      <formula2>999.99</formula2>
    </dataValidation>
    <dataValidation type="date" operator="between" allowBlank="true" showInputMessage="true" showErrorMessage="true" error="Integer expected with max size 100" sqref="M267">
      <formula1>43101</formula1>
      <formula2>54788</formula2>
    </dataValidation>
    <dataValidation type="decimal" operator="between" allowBlank="true" showInputMessage="true" showErrorMessage="true" error="Numeric range expected from 0,00 to 999,99" sqref="M268">
      <formula1>0</formula1>
      <formula2>999.99</formula2>
    </dataValidation>
    <dataValidation type="whole" operator="between" allowBlank="true" showInputMessage="true" showErrorMessage="true" error="Integer expected with max size 100" sqref="M272">
      <formula1>43101</formula1>
      <formula2>54788</formula2>
    </dataValidation>
    <dataValidation type="decimal" operator="between" allowBlank="true" showInputMessage="true" showErrorMessage="true" error="Numeric range expected from 0,00 to 999,99" sqref="M273">
      <formula1>0</formula1>
      <formula2>999.99</formula2>
    </dataValidation>
    <dataValidation type="date" operator="between" allowBlank="true" showInputMessage="true" showErrorMessage="true" error="Integer expected with max size 100" sqref="M274">
      <formula1>43101</formula1>
      <formula2>54788</formula2>
    </dataValidation>
    <dataValidation type="decimal" operator="between" allowBlank="true" showInputMessage="true" showErrorMessage="true" error="Numeric range expected from 0,00 to 999,99" sqref="M275">
      <formula1>0</formula1>
      <formula2>999.99</formula2>
    </dataValidation>
    <dataValidation type="whole" operator="between" allowBlank="true" showInputMessage="true" showErrorMessage="true" error="Integer expected with max size 100" sqref="M279">
      <formula1>43101</formula1>
      <formula2>54788</formula2>
    </dataValidation>
    <dataValidation type="decimal" operator="between" allowBlank="true" showInputMessage="true" showErrorMessage="true" error="Numeric range expected from 0,00 to 999,99" sqref="M280">
      <formula1>0</formula1>
      <formula2>999.99</formula2>
    </dataValidation>
    <dataValidation type="date" operator="between" allowBlank="true" showInputMessage="true" showErrorMessage="true" error="Integer expected with max size 100" sqref="M281">
      <formula1>43101</formula1>
      <formula2>54788</formula2>
    </dataValidation>
    <dataValidation type="decimal" operator="between" allowBlank="true" showInputMessage="true" showErrorMessage="true" error="Numeric range expected from 0,00 to 999,99" sqref="M282">
      <formula1>0</formula1>
      <formula2>999.99</formula2>
    </dataValidation>
    <dataValidation type="textLength" errorStyle="stop" operator="between" allowBlank="true" showDropDown="false" showInputMessage="true" showErrorMessage="true" prompt="" sqref="N2">
      <formula1>1</formula1>
      <formula2>10000</formula2>
    </dataValidation>
    <dataValidation type="list" operator="between" allowBlank="true" showInputMessage="true" showErrorMessage="true" sqref="N6">
      <formula1>"Mobile,Tablet"</formula1>
    </dataValidation>
    <dataValidation type="textLength" operator="between" allowBlank="true" showInputMessage="true" showErrorMessage="true" errorTitle="Brand name" error="Alphanumeric size from 3 to 50 characters" sqref="N7">
      <formula1>3</formula1>
      <formula2>50</formula2>
    </dataValidation>
    <dataValidation type="textLength" operator="between" allowBlank="true" showInputMessage="true" showErrorMessage="true" errorTitle="GCF Model name" error="Alphanumeric size 64 characters exceeded" sqref="N8">
      <formula1>0</formula1>
      <formula2>64</formula2>
    </dataValidation>
    <dataValidation type="textLength" operator="between" allowBlank="true" showInputMessage="true" showErrorMessage="true" errorTitle="Comments" error="Alphanumeric size 2000 characters exceeded" sqref="N9">
      <formula1>0</formula1>
      <formula2>2000</formula2>
    </dataValidation>
    <dataValidation type="date" operator="between" allowBlank="true" showErrorMessage="true" errorTitle="Marketing samples availability" error="Date expected" sqref="N10">
      <formula1>43101</formula1>
      <formula2>54788</formula2>
    </dataValidation>
    <dataValidation type="date" operator="between" allowBlank="true" showErrorMessage="true" errorTitle="Technical samples availability" error="Date expected" sqref="N11">
      <formula1>43101</formula1>
      <formula2>54788</formula2>
    </dataValidation>
    <dataValidation type="date" operator="between" allowBlank="true" showErrorMessage="true" errorTitle="Expected Generic Street Launch" error="Date expected" sqref="N12">
      <formula1>43101</formula1>
      <formula2>54788</formula2>
    </dataValidation>
    <dataValidation type="date" operator="between" allowBlank="true" showErrorMessage="true" errorTitle="Expected availability warehouse" error="Date expected" sqref="N13">
      <formula1>43101</formula1>
      <formula2>54788</formula2>
    </dataValidation>
    <dataValidation type="date" operator="between" allowBlank="true" showErrorMessage="true" errorTitle="GCF date" error="Date expected" sqref="N14:N15">
      <formula1>43101</formula1>
      <formula2>54788</formula2>
    </dataValidation>
    <dataValidation type="date" operator="between" allowBlank="true" showErrorMessage="true" errorTitle="Wi-Fi alliance date" error="Date expected" sqref="N16">
      <formula1>43101</formula1>
      <formula2>54788</formula2>
    </dataValidation>
    <dataValidation type="list" operator="between" allowBlank="true" showInputMessage="true" showErrorMessage="true" sqref="N17">
      <formula1>"Flagship,Everyday Superphone,Essential Smartphone,Voice,Not applicable"</formula1>
    </dataValidation>
    <dataValidation type="decimal" operator="between" allowBlank="true" showInputMessage="true" showErrorMessage="true" errorTitle="Repairability index" error="Numeric expected with max size 10,00" sqref="N18">
      <formula1>0</formula1>
      <formula2>10</formula2>
    </dataValidation>
    <dataValidation type="textLength" operator="between" allowBlank="true" showInputMessage="true" showErrorMessage="true" errorTitle="Comments" error="Alphanumeric size 2000 characters exceeded" sqref="N19">
      <formula1>0</formula1>
      <formula2>2000</formula2>
    </dataValidation>
    <dataValidation type="textLength" operator="between" allowBlank="true" showInputMessage="true" showErrorMessage="true" errorTitle="Commercial name" error="Alphanumeric size 120 characters exceeded" sqref="N21">
      <formula1>0</formula1>
      <formula2>120</formula2>
    </dataValidation>
    <dataValidation type="textLength" operator="between" allowBlank="true" showInputMessage="true" showErrorMessage="true" errorTitle="Orange Variant name" error="Alphanumeric size 120 characters exceeded" sqref="N22">
      <formula1>0</formula1>
      <formula2>240</formula2>
    </dataValidation>
    <dataValidation type="list" operator="between" allowBlank="true" showInputMessage="true" showErrorMessage="true" sqref="N23">
      <formula1>"ODM - OBD, ODM - Not OBD"</formula1>
    </dataValidation>
    <dataValidation type="list" operator="between" allowBlank="true" showInputMessage="true" showErrorMessage="true" sqref="N24">
      <formula1>"Flagship,Everyday Superphone,Essential Smartphone,Voice,Not applicable"</formula1>
    </dataValidation>
    <dataValidation type="list" operator="between" allowBlank="true" showInputMessage="true" showErrorMessage="true" sqref="N25">
      <formula1>"Essential Smartphone High,Essential Smartphone Entry,Not applicable"</formula1>
    </dataValidation>
    <dataValidation type="list" operator="between" allowBlank="true" showInputMessage="true" showErrorMessage="true" sqref="N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N29">
      <formula1>0</formula1>
      <formula2>50</formula2>
    </dataValidation>
    <dataValidation type="textLength" operator="between" allowBlank="true" showInputMessage="true" showErrorMessage="true" errorTitle="Hardware Platform ref name" error="Alphanumeric size 50 characters exceeded" sqref="N30">
      <formula1>0</formula1>
      <formula2>50</formula2>
    </dataValidation>
    <dataValidation type="list" operator="between" allowBlank="true" showInputMessage="true" showErrorMessage="true" sqref="N31">
      <formula1>='Listes deroulantes'!$U$2:$U$28</formula1>
    </dataValidation>
    <dataValidation type="textLength" operator="between" allowBlank="true" showInputMessage="true" showErrorMessage="true" errorTitle="Baseband chipset name" error="Alphanumeric size 50 characters exceeded" sqref="N32">
      <formula1>0</formula1>
      <formula2>50</formula2>
    </dataValidation>
    <dataValidation type="list" operator="between" allowBlank="true" showInputMessage="true" showErrorMessage="true" sqref="N33">
      <formula1>"0,1,2,3,4,6,8,Others"</formula1>
    </dataValidation>
    <dataValidation type="list" operator="between" allowBlank="true" showInputMessage="true" showErrorMessage="true" sqref="N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N37">
      <formula1>0</formula1>
      <formula2>10</formula2>
    </dataValidation>
    <dataValidation type="textLength" operator="between" allowBlank="true" showInputMessage="true" showErrorMessage="true" errorTitle="Nb of OS Android patch upgrade" error="Integer size 2 characters exceeded" sqref="N38">
      <formula1>0</formula1>
      <formula2>2</formula2>
    </dataValidation>
    <dataValidation type="textLength" operator="between" allowBlank="true" showInputMessage="true" showErrorMessage="true" errorTitle="OS Android patch upgrade (years)" error="Integer size 2 characters exceeded" sqref="N39">
      <formula1>0</formula1>
      <formula2>2</formula2>
    </dataValidation>
    <dataValidation type="list" operator="between" allowBlank="true" showInputMessage="true" showErrorMessage="true" errorTitle="Frequency Android OS security" error="Value not allowed, select value from drop down menu" sqref="N40">
      <formula1>"Monthly,Quarterly,Half-yearly,Yearly"</formula1>
    </dataValidation>
    <dataValidation type="list" operator="between" allowBlank="true" showInputMessage="true" showErrorMessage="true" sqref="N42:N48">
      <formula1>"Yes,No"</formula1>
    </dataValidation>
    <dataValidation type="list" operator="between" allowBlank="true" showInputMessage="true" showErrorMessage="true" sqref="N49">
      <formula1>"FDD,TDD,FDD / TDD"</formula1>
    </dataValidation>
    <dataValidation type="list" operator="between" allowBlank="true" showInputMessage="true" showErrorMessage="true" sqref="N50">
      <formula1>='Listes deroulantes'!$A$2:$A$32</formula1>
    </dataValidation>
    <dataValidation type="list" operator="between" allowBlank="true" showInputMessage="true" showErrorMessage="true" sqref="N51">
      <formula1>='Listes deroulantes'!$E$2:$E$26</formula1>
    </dataValidation>
    <dataValidation type="list" operator="between" allowBlank="true" showInputMessage="true" showErrorMessage="true" sqref="N52">
      <formula1>='Listes deroulantes'!$C$2:$C$23</formula1>
    </dataValidation>
    <dataValidation type="list" operator="between" allowBlank="true" showInputMessage="true" showErrorMessage="true" sqref="N53:N56">
      <formula1>"Yes,No"</formula1>
    </dataValidation>
    <dataValidation type="list" operator="between" allowBlank="true" showInputMessage="true" showErrorMessage="true" sqref="N57">
      <formula1>"No,2x2,4x4,4x2"</formula1>
    </dataValidation>
    <dataValidation type="list" operator="between" allowBlank="true" showInputMessage="true" showErrorMessage="true" sqref="N58">
      <formula1>"No,2x2"</formula1>
    </dataValidation>
    <dataValidation type="list" operator="between" allowBlank="true" showInputMessage="true" showErrorMessage="true" sqref="N59">
      <formula1>"No,2,3,4,5,6,7,8"</formula1>
    </dataValidation>
    <dataValidation type="list" operator="between" allowBlank="true" showInputMessage="true" showErrorMessage="true" sqref="N60">
      <formula1>='Listes deroulantes'!$G$2:$G$5</formula1>
    </dataValidation>
    <dataValidation type="list" operator="between" allowBlank="true" showInputMessage="true" showErrorMessage="true" sqref="N61">
      <formula1>='Listes deroulantes'!$I$2:$I$3</formula1>
    </dataValidation>
    <dataValidation type="list" operator="between" allowBlank="true" showInputMessage="true" showErrorMessage="true" sqref="N62">
      <formula1>='Listes deroulantes'!$K$2:$K$4</formula1>
    </dataValidation>
    <dataValidation type="list" operator="between" allowBlank="true" showInputMessage="true" showErrorMessage="true" sqref="N64:N97">
      <formula1>"Yes,No"</formula1>
    </dataValidation>
    <dataValidation type="list" operator="between" allowBlank="true" showInputMessage="true" showErrorMessage="true" sqref="N98:N99">
      <formula1>='Listes deroulantes'!$I$2:$I$3</formula1>
    </dataValidation>
    <dataValidation type="list" operator="between" allowBlank="true" showInputMessage="true" showErrorMessage="true" sqref="N100">
      <formula1>='Listes deroulantes'!$M$2:$M$18</formula1>
    </dataValidation>
    <dataValidation type="list" operator="between" allowBlank="true" showInputMessage="true" showErrorMessage="true" sqref="N101">
      <formula1>='Listes deroulantes'!$O$2:$O$4</formula1>
    </dataValidation>
    <dataValidation type="decimal" operator="between" allowBlank="true" showInputMessage="true" showErrorMessage="true" errorTitle="Weight (g)" error="numeric format expected - for instance 999,99 maximum - or length characters exceeded" sqref="N103:N106">
      <formula1>0</formula1>
      <formula2>999.99</formula2>
    </dataValidation>
    <dataValidation type="list" operator="between" allowBlank="true" showInputMessage="true" showErrorMessage="true" sqref="N107">
      <formula1>"Bar,Messenger bar,Clamshell,Slide,Touch,Messenger/sliding touch,Other"</formula1>
    </dataValidation>
    <dataValidation type="list" operator="between" allowBlank="true" showInputMessage="true" showErrorMessage="true" sqref="N108:N109">
      <formula1>"Yes,No"</formula1>
    </dataValidation>
    <dataValidation type="list" operator="between" allowBlank="true" showInputMessage="true" showErrorMessage="true" sqref="N110">
      <formula1>"Hard AZERTY/QWERTY,Touch AZERTY/QWERTY,Hard 20 keys,Numeric keypad only	"</formula1>
    </dataValidation>
    <dataValidation type="list" operator="between" allowBlank="true" showInputMessage="true" showErrorMessage="true" sqref="N111">
      <formula1>"Yes,No"</formula1>
    </dataValidation>
    <dataValidation type="list" operator="between" allowBlank="true" showInputMessage="true" showErrorMessage="true" sqref="N112">
      <formula1>"2m,1.8m,1.5m,1.2m,1.0m,&lt;1.0m"</formula1>
    </dataValidation>
    <dataValidation type="list" operator="between" allowBlank="true" showInputMessage="true" showErrorMessage="true" sqref="N113">
      <formula1>"IP52,IP54,IP57,IP58,IP64,IP67,IP68,Not known,Other"</formula1>
    </dataValidation>
    <dataValidation type="list" operator="between" allowBlank="true" showInputMessage="true" showErrorMessage="true" sqref="N114:N115">
      <formula1>"Yes,No"</formula1>
    </dataValidation>
    <dataValidation type="decimal" operator="between" allowBlank="true" showInputMessage="true" showErrorMessage="true" errorTitle="Screen size (in inches) diagonal" error="numeric format expected - for instance 99,99 - or length characters exceeded" sqref="N117">
      <formula1>0</formula1>
      <formula2>99.99</formula2>
    </dataValidation>
    <dataValidation type="whole" operator="between" allowBlank="true" showInputMessage="true" showErrorMessage="true" errorTitle="Width (px)" error="Integer size 4 expected or lenght characters exceeded" sqref="N118">
      <formula1>0</formula1>
      <formula2>9999</formula2>
    </dataValidation>
    <dataValidation type="whole" operator="between" allowBlank="true" showInputMessage="true" showErrorMessage="true" errorTitle="Height (px)" error="Integer size 4 expected or lenght characters exceeded" sqref="N119">
      <formula1>0</formula1>
      <formula2>9999</formula2>
    </dataValidation>
    <dataValidation type="list" operator="between" allowBlank="true" showInputMessage="true" showErrorMessage="true" sqref="N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N121">
      <formula1>0</formula1>
      <formula2>9999</formula2>
    </dataValidation>
    <dataValidation type="textLength" operator="between" allowBlank="true" showInputMessage="true" showErrorMessage="true" errorTitle="Contrast ratio" error="Expected length 0&lt;= value length &lt;51" sqref="N122">
      <formula1>0</formula1>
      <formula2>50</formula2>
    </dataValidation>
    <dataValidation type="textLength" operator="between" allowBlank="true" showInputMessage="true" showErrorMessage="true" errorTitle="Brightness (cd/m2)" error="Expected length 0&lt;= value length &lt;51" sqref="N123">
      <formula1>0</formula1>
      <formula2>50</formula2>
    </dataValidation>
    <dataValidation type="list" operator="between" allowBlank="true" showInputMessage="true" showErrorMessage="true" sqref="N124:N126">
      <formula1>"Yes,No"</formula1>
    </dataValidation>
    <dataValidation type="list" operator="between" allowBlank="true" showInputMessage="true" showErrorMessage="true" sqref="N128">
      <formula1>"Yes,No"</formula1>
    </dataValidation>
    <dataValidation type="list" operator="between" allowBlank="true" showInputMessage="true" showErrorMessage="true" sqref="N129">
      <formula1>"No,2,3,4,5,More"</formula1>
    </dataValidation>
    <dataValidation type="list" operator="between" allowBlank="true" showInputMessage="true" showErrorMessage="true" sqref="N130">
      <formula1>"No,2FF,3FF (MicroSIM),4FF (nano SIM),e-SIM,e-SIM or 4FF (nano SIM)"</formula1>
    </dataValidation>
    <dataValidation type="list" operator="between" allowBlank="true" showInputMessage="true" showErrorMessage="true" sqref="N132">
      <formula1>='Listes deroulantes'!$U$2:$U$28</formula1>
    </dataValidation>
    <dataValidation type="textLength" operator="between" allowBlank="true" showInputMessage="true" showErrorMessage="true" errorTitle="Wi-FI chipset name" error="Alphanumeric size 50 characters exceeded" sqref="N133">
      <formula1>0</formula1>
      <formula2>50</formula2>
    </dataValidation>
    <dataValidation type="list" operator="between" allowBlank="true" showInputMessage="true" showErrorMessage="true" sqref="N134:N148">
      <formula1>"Yes,No"</formula1>
    </dataValidation>
    <dataValidation type="list" operator="between" allowBlank="true" showInputMessage="true" showErrorMessage="true" sqref="N149">
      <formula1>"2x2,4x4,6x6,8x8"</formula1>
    </dataValidation>
    <dataValidation type="list" operator="between" allowBlank="true" showInputMessage="true" showErrorMessage="true" sqref="N150">
      <formula1>='Listes deroulantes'!$V$2:$V$16</formula1>
    </dataValidation>
    <dataValidation type="textLength" operator="between" allowBlank="true" showInputMessage="true" showErrorMessage="true" errorTitle="Bluetooth Profile" error="Alphanumeric size 100 characters exceeded" sqref="N151">
      <formula1>0</formula1>
      <formula2>100</formula2>
    </dataValidation>
    <dataValidation type="list" operator="between" allowBlank="true" showInputMessage="true" showErrorMessage="true" sqref="N152:N154">
      <formula1>"Yes,No"</formula1>
    </dataValidation>
    <dataValidation type="list" operator="between" allowBlank="true" showInputMessage="true" showErrorMessage="true" sqref="N158">
      <formula1>"No,A-GPS,GPS Standalone,GNSS"</formula1>
    </dataValidation>
    <dataValidation type="list" operator="between" allowBlank="true" showInputMessage="true" showErrorMessage="true" sqref="N159">
      <formula1>='Listes deroulantes'!$Q$2:$Q$10</formula1>
    </dataValidation>
    <dataValidation type="list" operator="between" allowBlank="true" showInputMessage="true" showErrorMessage="true" sqref="N160">
      <formula1>='Listes deroulantes'!$W$2:$W$9</formula1>
    </dataValidation>
    <dataValidation type="list" operator="between" allowBlank="true" showInputMessage="true" showErrorMessage="true" sqref="N161:N166">
      <formula1>"Yes,No"</formula1>
    </dataValidation>
    <dataValidation type="list" operator="between" allowBlank="true" showInputMessage="true" showErrorMessage="true" sqref="N168:N172">
      <formula1>"Yes,No"</formula1>
    </dataValidation>
    <dataValidation type="whole" operator="between" allowBlank="true" showInputMessage="true" showErrorMessage="true" errorTitle="Battery capacity (mAh)" error="Integer size 5 expected or lenght characters exceeded" sqref="N176">
      <formula1>0</formula1>
      <formula2>99999</formula2>
    </dataValidation>
    <dataValidation type="list" operator="between" allowBlank="true" showInputMessage="true" showErrorMessage="true" sqref="N177">
      <formula1>"Li-Ion,Li-Poly,Li-Ion-Poly,Li-Technology,NiMH"</formula1>
    </dataValidation>
    <dataValidation type="list" operator="between" allowBlank="true" showInputMessage="true" showErrorMessage="true" sqref="N178">
      <formula1>"Yes,No"</formula1>
    </dataValidation>
    <dataValidation type="list" operator="between" allowBlank="true" showInputMessage="true" showErrorMessage="true" sqref="N179">
      <formula1>"No,Qi,Other"</formula1>
    </dataValidation>
    <dataValidation type="list" operator="between" allowBlank="true" showInputMessage="true" showErrorMessage="true" sqref="N180">
      <formula1>"No,Pump Express,Quick Charge 2.0,Other"</formula1>
    </dataValidation>
    <dataValidation type="list" operator="between" allowBlank="true" showInputMessage="true" showErrorMessage="true" sqref="N182">
      <formula1>"2TB,1TB,512GB,256GB,128GB,64GB,32GB,16GB,8GB,4GB,2GB,1GB,512MB,256MB,128MB"</formula1>
    </dataValidation>
    <dataValidation type="list" operator="between" allowBlank="true" showInputMessage="true" showErrorMessage="true" sqref="N183:N186">
      <formula1>"Yes,No"</formula1>
    </dataValidation>
    <dataValidation type="list" operator="between" allowBlank="true" showErrorMessage="true" sqref="N187">
      <formula1>='Listes deroulantes'!$S$2:$S$28</formula1>
    </dataValidation>
    <dataValidation type="list" operator="between" allowBlank="true" showInputMessage="true" showErrorMessage="true" sqref="N189:N198">
      <formula1>"Yes,No"</formula1>
    </dataValidation>
    <dataValidation type="list" operator="between" allowBlank="true" showInputMessage="true" showErrorMessage="true" sqref="N200:N202">
      <formula1>"Yes,No"</formula1>
    </dataValidation>
    <dataValidation type="list" operator="between" allowBlank="true" showInputMessage="true" showErrorMessage="true" sqref="N203">
      <formula1>"No,Picture Basic,Picture Rich,Video Basic,Video Rich,Megapixel,"</formula1>
    </dataValidation>
    <dataValidation type="list" operator="between" allowBlank="true" showInputMessage="true" showErrorMessage="true" sqref="N204">
      <formula1>"600 kB,300 kB,100 kB,30 kB"</formula1>
    </dataValidation>
    <dataValidation type="list" operator="between" allowBlank="true" showInputMessage="true" showErrorMessage="true" sqref="N205">
      <formula1>"No,Android Messages,OEM native messenger"</formula1>
    </dataValidation>
    <dataValidation type="list" operator="between" allowBlank="true" showInputMessage="true" showErrorMessage="true" sqref="N207">
      <formula1>"No,Integrated,Integrated AND Autofocus"</formula1>
    </dataValidation>
    <dataValidation type="list" operator="between" allowBlank="true" showInputMessage="true" showErrorMessage="true" sqref="N208">
      <formula1>"1,2,3,4,5"</formula1>
    </dataValidation>
    <dataValidation type="decimal" operator="between" allowBlank="true" showInputMessage="true" showErrorMessage="true" errorTitle="Main Camera1 resolution (Mpx)" error="numeric format expected - for instance 999,99 - or length characters exceeded" sqref="N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N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N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N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N213">
      <formula1>0</formula1>
      <formula2>999.99</formula2>
    </dataValidation>
    <dataValidation type="list" operator="between" allowBlank="true" showInputMessage="true" showErrorMessage="true" sqref="N214:N215">
      <formula1>"Yes,No"</formula1>
    </dataValidation>
    <dataValidation type="textLength" operator="between" allowBlank="true" showInputMessage="true" showErrorMessage="true" errorTitle="Main Camera comments" error="Alphanumeric size 500 characters exceeded" sqref="N216">
      <formula1>0</formula1>
      <formula2>500</formula2>
    </dataValidation>
    <dataValidation type="textLength" operator="between" allowBlank="true" showInputMessage="true" showErrorMessage="true" errorTitle="Main Camera Features" error="Alphanumeric size 500 characters exceeded" sqref="N217">
      <formula1>0</formula1>
      <formula2>500</formula2>
    </dataValidation>
    <dataValidation type="textLength" operator="between" allowBlank="true" showInputMessage="true" showErrorMessage="true" errorTitle="Main Camera video" error="Alphanumeric size 500 characters exceeded" sqref="N218">
      <formula1>0</formula1>
      <formula2>500</formula2>
    </dataValidation>
    <dataValidation type="list" operator="between" allowBlank="true" showInputMessage="true" showErrorMessage="true" sqref="N219">
      <formula1>"f/0.30,f/0.60,f/0.70,f/0.75,f/0.80,f/0.85,f/0.90,f/0.95,f/1.0,f/1.1,f/1.2,f/1.3,f/1.4,f/1.5,f/1.6,f/1.7,f/1.8,f/1.9,f/2.0,f/2.1,f/2.2,f/2.3,f/2.4,f/2.5,f/2.8,f/2.9,f/3.0"</formula1>
    </dataValidation>
    <dataValidation type="list" operator="between" allowBlank="true" showInputMessage="true" showErrorMessage="true" sqref="N220">
      <formula1>"Yes,No"</formula1>
    </dataValidation>
    <dataValidation type="list" operator="between" allowBlank="true" showInputMessage="true" showErrorMessage="true" sqref="N221">
      <formula1>"No,LED,2 LED,Xenon,Other"</formula1>
    </dataValidation>
    <dataValidation type="list" operator="between" allowBlank="true" showInputMessage="true" showErrorMessage="true" sqref="N223">
      <formula1>"No,Integrated,Integrated AND Autofocus"</formula1>
    </dataValidation>
    <dataValidation type="list" operator="between" allowBlank="true" showInputMessage="true" showErrorMessage="true" sqref="N224">
      <formula1>"1,2"</formula1>
    </dataValidation>
    <dataValidation type="decimal" operator="between" allowBlank="true" showInputMessage="true" showErrorMessage="true" errorTitle="Selfie Camera1 resolution (Mpx)" error="numeric format expected - for instance 999,99 - or length characters exceeded" sqref="N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N226">
      <formula1>0</formula1>
      <formula2>999.99</formula2>
    </dataValidation>
    <dataValidation type="list" operator="between" allowBlank="true" showInputMessage="true" showErrorMessage="true" sqref="N227:N228">
      <formula1>"Yes,No"</formula1>
    </dataValidation>
    <dataValidation type="textLength" operator="between" allowBlank="true" showInputMessage="true" showErrorMessage="true" errorTitle="Selfie Camera comments" error="Alphanumeric size 500 characters exceeded" sqref="N229">
      <formula1>0</formula1>
      <formula2>500</formula2>
    </dataValidation>
    <dataValidation type="textLength" operator="between" allowBlank="true" showInputMessage="true" showErrorMessage="true" errorTitle="Selfie Camera Features" error="Alphanumeric size 500 characters exceeded" sqref="N230">
      <formula1>0</formula1>
      <formula2>500</formula2>
    </dataValidation>
    <dataValidation type="textLength" operator="between" allowBlank="true" showInputMessage="true" showErrorMessage="true" errorTitle="Selfie Camera video" error="Alphanumeric size 500 characters exceeded" sqref="N231">
      <formula1>0</formula1>
      <formula2>500</formula2>
    </dataValidation>
    <dataValidation type="list" operator="between" allowBlank="true" showInputMessage="true" showErrorMessage="true" sqref="N233:N239">
      <formula1>"Yes,No"</formula1>
    </dataValidation>
    <dataValidation type="list" operator="between" allowBlank="true" showInputMessage="true" showErrorMessage="true" sqref="N241">
      <formula1>"Yes,No"</formula1>
    </dataValidation>
    <dataValidation type="list" operator="between" allowBlank="true" showInputMessage="true" showErrorMessage="true" sqref="N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N244">
      <formula1>0</formula1>
      <formula2>9.99</formula2>
    </dataValidation>
    <dataValidation type="decimal" operator="between" allowBlank="true" showInputMessage="true" showErrorMessage="true" errorTitle="SAR head (Watt/kg)" error="numeric format expected - for instance 9,999 - or length characters exceeded" sqref="N245:N246">
      <formula1>0</formula1>
      <formula2>9.99</formula2>
    </dataValidation>
    <dataValidation type="decimal" operator="between" allowBlank="true" showInputMessage="true" showErrorMessage="true" errorTitle="Production value (kg CO2eq) " error="Numeric expected with max size 99,99" sqref="N249">
      <formula1>0</formula1>
      <formula2>99.99</formula2>
    </dataValidation>
    <dataValidation type="decimal" operator="between" allowBlank="true" showInputMessage="true" showErrorMessage="true" errorTitle="Transportation value (kg CO2eq)" error="Numeric expected with max size 99,99" sqref="N250">
      <formula1>0</formula1>
      <formula2>99.99</formula2>
    </dataValidation>
    <dataValidation type="list" operator="between" allowBlank="true" showInputMessage="true" showErrorMessage="true" error="Integer expected with max size 100" sqref="N252">
      <formula1>"R02,R03,R04,R05"</formula1>
    </dataValidation>
    <dataValidation type="decimal" operator="between" allowBlank="true" showInputMessage="true" showErrorMessage="true" errorTitle="Production value (kg CO2eq) " error="Numeric expected with max size 99,99" sqref="N253">
      <formula1>0</formula1>
      <formula2>99.99</formula2>
    </dataValidation>
    <dataValidation type="decimal" operator="between" allowBlank="true" showInputMessage="true" showErrorMessage="true" errorTitle="Adjustment for memory variant" error="-101&lt;Value expected&lt;101" sqref="N254">
      <formula1>-100.99</formula1>
      <formula2>100.99</formula2>
    </dataValidation>
    <dataValidation type="decimal" operator="between" allowBlank="true" showInputMessage="true" showErrorMessage="true" errorTitle="Transportation value (kg CO2eq)" error="Numeric expected with max size 99,99" sqref="N255">
      <formula1>0</formula1>
      <formula2>99.99</formula2>
    </dataValidation>
    <dataValidation type="decimal" operator="between" allowBlank="true" showInputMessage="true" showErrorMessage="true" errorTitle="Production value (kg CO2eq) " error="Numeric expected with max size 99,99" sqref="N257">
      <formula1>0</formula1>
      <formula2>99.99</formula2>
    </dataValidation>
    <dataValidation type="decimal" operator="between" allowBlank="true" showInputMessage="true" showErrorMessage="true" errorTitle="Adjustment for memory variant" error="-101&lt;Value expected&lt;101" sqref="N258">
      <formula1>-100.99</formula1>
      <formula2>100.99</formula2>
    </dataValidation>
    <dataValidation type="decimal" operator="between" allowBlank="true" showInputMessage="true" showErrorMessage="true" errorTitle="Transportation value (kg CO2eq)" error="Numeric expected with max size 99,99" sqref="N259">
      <formula1>0</formula1>
      <formula2>99.99</formula2>
    </dataValidation>
    <dataValidation type="list" operator="between" allowBlank="true" showInputMessage="true" showErrorMessage="true" sqref="N260">
      <formula1>"World,EU,MEA"</formula1>
    </dataValidation>
    <dataValidation type="whole" operator="between" allowBlank="true" showInputMessage="true" showErrorMessage="true" error="Integer expected with max size 100" sqref="N265">
      <formula1>43101</formula1>
      <formula2>54788</formula2>
    </dataValidation>
    <dataValidation type="decimal" operator="between" allowBlank="true" showInputMessage="true" showErrorMessage="true" error="Numeric range expected from 0,00 to 999,99" sqref="N266">
      <formula1>0</formula1>
      <formula2>999.99</formula2>
    </dataValidation>
    <dataValidation type="date" operator="between" allowBlank="true" showInputMessage="true" showErrorMessage="true" error="Integer expected with max size 100" sqref="N267">
      <formula1>43101</formula1>
      <formula2>54788</formula2>
    </dataValidation>
    <dataValidation type="decimal" operator="between" allowBlank="true" showInputMessage="true" showErrorMessage="true" error="Numeric range expected from 0,00 to 999,99" sqref="N268">
      <formula1>0</formula1>
      <formula2>999.99</formula2>
    </dataValidation>
    <dataValidation type="whole" operator="between" allowBlank="true" showInputMessage="true" showErrorMessage="true" error="Integer expected with max size 100" sqref="N272">
      <formula1>43101</formula1>
      <formula2>54788</formula2>
    </dataValidation>
    <dataValidation type="decimal" operator="between" allowBlank="true" showInputMessage="true" showErrorMessage="true" error="Numeric range expected from 0,00 to 999,99" sqref="N273">
      <formula1>0</formula1>
      <formula2>999.99</formula2>
    </dataValidation>
    <dataValidation type="date" operator="between" allowBlank="true" showInputMessage="true" showErrorMessage="true" error="Integer expected with max size 100" sqref="N274">
      <formula1>43101</formula1>
      <formula2>54788</formula2>
    </dataValidation>
    <dataValidation type="decimal" operator="between" allowBlank="true" showInputMessage="true" showErrorMessage="true" error="Numeric range expected from 0,00 to 999,99" sqref="N275">
      <formula1>0</formula1>
      <formula2>999.99</formula2>
    </dataValidation>
    <dataValidation type="whole" operator="between" allowBlank="true" showInputMessage="true" showErrorMessage="true" error="Integer expected with max size 100" sqref="N279">
      <formula1>43101</formula1>
      <formula2>54788</formula2>
    </dataValidation>
    <dataValidation type="decimal" operator="between" allowBlank="true" showInputMessage="true" showErrorMessage="true" error="Numeric range expected from 0,00 to 999,99" sqref="N280">
      <formula1>0</formula1>
      <formula2>999.99</formula2>
    </dataValidation>
    <dataValidation type="date" operator="between" allowBlank="true" showInputMessage="true" showErrorMessage="true" error="Integer expected with max size 100" sqref="N281">
      <formula1>43101</formula1>
      <formula2>54788</formula2>
    </dataValidation>
    <dataValidation type="decimal" operator="between" allowBlank="true" showInputMessage="true" showErrorMessage="true" error="Numeric range expected from 0,00 to 999,99" sqref="N282">
      <formula1>0</formula1>
      <formula2>999.99</formula2>
    </dataValidation>
    <dataValidation type="textLength" errorStyle="stop" operator="between" allowBlank="true" showDropDown="false" showInputMessage="true" showErrorMessage="true" prompt="" sqref="O2">
      <formula1>1</formula1>
      <formula2>10000</formula2>
    </dataValidation>
    <dataValidation type="list" operator="between" allowBlank="true" showInputMessage="true" showErrorMessage="true" sqref="O6">
      <formula1>"Mobile,Tablet"</formula1>
    </dataValidation>
    <dataValidation type="textLength" operator="between" allowBlank="true" showInputMessage="true" showErrorMessage="true" errorTitle="Brand name" error="Alphanumeric size from 3 to 50 characters" sqref="O7">
      <formula1>3</formula1>
      <formula2>50</formula2>
    </dataValidation>
    <dataValidation type="textLength" operator="between" allowBlank="true" showInputMessage="true" showErrorMessage="true" errorTitle="GCF Model name" error="Alphanumeric size 64 characters exceeded" sqref="O8">
      <formula1>0</formula1>
      <formula2>64</formula2>
    </dataValidation>
    <dataValidation type="textLength" operator="between" allowBlank="true" showInputMessage="true" showErrorMessage="true" errorTitle="Comments" error="Alphanumeric size 2000 characters exceeded" sqref="O9">
      <formula1>0</formula1>
      <formula2>2000</formula2>
    </dataValidation>
    <dataValidation type="date" operator="between" allowBlank="true" showErrorMessage="true" errorTitle="Marketing samples availability" error="Date expected" sqref="O10">
      <formula1>43101</formula1>
      <formula2>54788</formula2>
    </dataValidation>
    <dataValidation type="date" operator="between" allowBlank="true" showErrorMessage="true" errorTitle="Technical samples availability" error="Date expected" sqref="O11">
      <formula1>43101</formula1>
      <formula2>54788</formula2>
    </dataValidation>
    <dataValidation type="date" operator="between" allowBlank="true" showErrorMessage="true" errorTitle="Expected Generic Street Launch" error="Date expected" sqref="O12">
      <formula1>43101</formula1>
      <formula2>54788</formula2>
    </dataValidation>
    <dataValidation type="date" operator="between" allowBlank="true" showErrorMessage="true" errorTitle="Expected availability warehouse" error="Date expected" sqref="O13">
      <formula1>43101</formula1>
      <formula2>54788</formula2>
    </dataValidation>
    <dataValidation type="date" operator="between" allowBlank="true" showErrorMessage="true" errorTitle="GCF date" error="Date expected" sqref="O14:O15">
      <formula1>43101</formula1>
      <formula2>54788</formula2>
    </dataValidation>
    <dataValidation type="date" operator="between" allowBlank="true" showErrorMessage="true" errorTitle="Wi-Fi alliance date" error="Date expected" sqref="O16">
      <formula1>43101</formula1>
      <formula2>54788</formula2>
    </dataValidation>
    <dataValidation type="list" operator="between" allowBlank="true" showInputMessage="true" showErrorMessage="true" sqref="O17">
      <formula1>"Flagship,Everyday Superphone,Essential Smartphone,Voice,Not applicable"</formula1>
    </dataValidation>
    <dataValidation type="decimal" operator="between" allowBlank="true" showInputMessage="true" showErrorMessage="true" errorTitle="Repairability index" error="Numeric expected with max size 10,00" sqref="O18">
      <formula1>0</formula1>
      <formula2>10</formula2>
    </dataValidation>
    <dataValidation type="textLength" operator="between" allowBlank="true" showInputMessage="true" showErrorMessage="true" errorTitle="Comments" error="Alphanumeric size 2000 characters exceeded" sqref="O19">
      <formula1>0</formula1>
      <formula2>2000</formula2>
    </dataValidation>
    <dataValidation type="textLength" operator="between" allowBlank="true" showInputMessage="true" showErrorMessage="true" errorTitle="Commercial name" error="Alphanumeric size 120 characters exceeded" sqref="O21">
      <formula1>0</formula1>
      <formula2>120</formula2>
    </dataValidation>
    <dataValidation type="textLength" operator="between" allowBlank="true" showInputMessage="true" showErrorMessage="true" errorTitle="Orange Variant name" error="Alphanumeric size 120 characters exceeded" sqref="O22">
      <formula1>0</formula1>
      <formula2>240</formula2>
    </dataValidation>
    <dataValidation type="list" operator="between" allowBlank="true" showInputMessage="true" showErrorMessage="true" sqref="O23">
      <formula1>"ODM - OBD, ODM - Not OBD"</formula1>
    </dataValidation>
    <dataValidation type="list" operator="between" allowBlank="true" showInputMessage="true" showErrorMessage="true" sqref="O24">
      <formula1>"Flagship,Everyday Superphone,Essential Smartphone,Voice,Not applicable"</formula1>
    </dataValidation>
    <dataValidation type="list" operator="between" allowBlank="true" showInputMessage="true" showErrorMessage="true" sqref="O25">
      <formula1>"Essential Smartphone High,Essential Smartphone Entry,Not applicable"</formula1>
    </dataValidation>
    <dataValidation type="list" operator="between" allowBlank="true" showInputMessage="true" showErrorMessage="true" sqref="O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O29">
      <formula1>0</formula1>
      <formula2>50</formula2>
    </dataValidation>
    <dataValidation type="textLength" operator="between" allowBlank="true" showInputMessage="true" showErrorMessage="true" errorTitle="Hardware Platform ref name" error="Alphanumeric size 50 characters exceeded" sqref="O30">
      <formula1>0</formula1>
      <formula2>50</formula2>
    </dataValidation>
    <dataValidation type="list" operator="between" allowBlank="true" showInputMessage="true" showErrorMessage="true" sqref="O31">
      <formula1>='Listes deroulantes'!$U$2:$U$28</formula1>
    </dataValidation>
    <dataValidation type="textLength" operator="between" allowBlank="true" showInputMessage="true" showErrorMessage="true" errorTitle="Baseband chipset name" error="Alphanumeric size 50 characters exceeded" sqref="O32">
      <formula1>0</formula1>
      <formula2>50</formula2>
    </dataValidation>
    <dataValidation type="list" operator="between" allowBlank="true" showInputMessage="true" showErrorMessage="true" sqref="O33">
      <formula1>"0,1,2,3,4,6,8,Others"</formula1>
    </dataValidation>
    <dataValidation type="list" operator="between" allowBlank="true" showInputMessage="true" showErrorMessage="true" sqref="O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O37">
      <formula1>0</formula1>
      <formula2>10</formula2>
    </dataValidation>
    <dataValidation type="textLength" operator="between" allowBlank="true" showInputMessage="true" showErrorMessage="true" errorTitle="Nb of OS Android patch upgrade" error="Integer size 2 characters exceeded" sqref="O38">
      <formula1>0</formula1>
      <formula2>2</formula2>
    </dataValidation>
    <dataValidation type="textLength" operator="between" allowBlank="true" showInputMessage="true" showErrorMessage="true" errorTitle="OS Android patch upgrade (years)" error="Integer size 2 characters exceeded" sqref="O39">
      <formula1>0</formula1>
      <formula2>2</formula2>
    </dataValidation>
    <dataValidation type="list" operator="between" allowBlank="true" showInputMessage="true" showErrorMessage="true" errorTitle="Frequency Android OS security" error="Value not allowed, select value from drop down menu" sqref="O40">
      <formula1>"Monthly,Quarterly,Half-yearly,Yearly"</formula1>
    </dataValidation>
    <dataValidation type="list" operator="between" allowBlank="true" showInputMessage="true" showErrorMessage="true" sqref="O42:O48">
      <formula1>"Yes,No"</formula1>
    </dataValidation>
    <dataValidation type="list" operator="between" allowBlank="true" showInputMessage="true" showErrorMessage="true" sqref="O49">
      <formula1>"FDD,TDD,FDD / TDD"</formula1>
    </dataValidation>
    <dataValidation type="list" operator="between" allowBlank="true" showInputMessage="true" showErrorMessage="true" sqref="O50">
      <formula1>='Listes deroulantes'!$A$2:$A$32</formula1>
    </dataValidation>
    <dataValidation type="list" operator="between" allowBlank="true" showInputMessage="true" showErrorMessage="true" sqref="O51">
      <formula1>='Listes deroulantes'!$E$2:$E$26</formula1>
    </dataValidation>
    <dataValidation type="list" operator="between" allowBlank="true" showInputMessage="true" showErrorMessage="true" sqref="O52">
      <formula1>='Listes deroulantes'!$C$2:$C$23</formula1>
    </dataValidation>
    <dataValidation type="list" operator="between" allowBlank="true" showInputMessage="true" showErrorMessage="true" sqref="O53:O56">
      <formula1>"Yes,No"</formula1>
    </dataValidation>
    <dataValidation type="list" operator="between" allowBlank="true" showInputMessage="true" showErrorMessage="true" sqref="O57">
      <formula1>"No,2x2,4x4,4x2"</formula1>
    </dataValidation>
    <dataValidation type="list" operator="between" allowBlank="true" showInputMessage="true" showErrorMessage="true" sqref="O58">
      <formula1>"No,2x2"</formula1>
    </dataValidation>
    <dataValidation type="list" operator="between" allowBlank="true" showInputMessage="true" showErrorMessage="true" sqref="O59">
      <formula1>"No,2,3,4,5,6,7,8"</formula1>
    </dataValidation>
    <dataValidation type="list" operator="between" allowBlank="true" showInputMessage="true" showErrorMessage="true" sqref="O60">
      <formula1>='Listes deroulantes'!$G$2:$G$5</formula1>
    </dataValidation>
    <dataValidation type="list" operator="between" allowBlank="true" showInputMessage="true" showErrorMessage="true" sqref="O61">
      <formula1>='Listes deroulantes'!$I$2:$I$3</formula1>
    </dataValidation>
    <dataValidation type="list" operator="between" allowBlank="true" showInputMessage="true" showErrorMessage="true" sqref="O62">
      <formula1>='Listes deroulantes'!$K$2:$K$4</formula1>
    </dataValidation>
    <dataValidation type="list" operator="between" allowBlank="true" showInputMessage="true" showErrorMessage="true" sqref="O64:O97">
      <formula1>"Yes,No"</formula1>
    </dataValidation>
    <dataValidation type="list" operator="between" allowBlank="true" showInputMessage="true" showErrorMessage="true" sqref="O98:O99">
      <formula1>='Listes deroulantes'!$I$2:$I$3</formula1>
    </dataValidation>
    <dataValidation type="list" operator="between" allowBlank="true" showInputMessage="true" showErrorMessage="true" sqref="O100">
      <formula1>='Listes deroulantes'!$M$2:$M$18</formula1>
    </dataValidation>
    <dataValidation type="list" operator="between" allowBlank="true" showInputMessage="true" showErrorMessage="true" sqref="O101">
      <formula1>='Listes deroulantes'!$O$2:$O$4</formula1>
    </dataValidation>
    <dataValidation type="decimal" operator="between" allowBlank="true" showInputMessage="true" showErrorMessage="true" errorTitle="Weight (g)" error="numeric format expected - for instance 999,99 maximum - or length characters exceeded" sqref="O103:O106">
      <formula1>0</formula1>
      <formula2>999.99</formula2>
    </dataValidation>
    <dataValidation type="list" operator="between" allowBlank="true" showInputMessage="true" showErrorMessage="true" sqref="O107">
      <formula1>"Bar,Messenger bar,Clamshell,Slide,Touch,Messenger/sliding touch,Other"</formula1>
    </dataValidation>
    <dataValidation type="list" operator="between" allowBlank="true" showInputMessage="true" showErrorMessage="true" sqref="O108:O109">
      <formula1>"Yes,No"</formula1>
    </dataValidation>
    <dataValidation type="list" operator="between" allowBlank="true" showInputMessage="true" showErrorMessage="true" sqref="O110">
      <formula1>"Hard AZERTY/QWERTY,Touch AZERTY/QWERTY,Hard 20 keys,Numeric keypad only	"</formula1>
    </dataValidation>
    <dataValidation type="list" operator="between" allowBlank="true" showInputMessage="true" showErrorMessage="true" sqref="O111">
      <formula1>"Yes,No"</formula1>
    </dataValidation>
    <dataValidation type="list" operator="between" allowBlank="true" showInputMessage="true" showErrorMessage="true" sqref="O112">
      <formula1>"2m,1.8m,1.5m,1.2m,1.0m,&lt;1.0m"</formula1>
    </dataValidation>
    <dataValidation type="list" operator="between" allowBlank="true" showInputMessage="true" showErrorMessage="true" sqref="O113">
      <formula1>"IP52,IP54,IP57,IP58,IP64,IP67,IP68,Not known,Other"</formula1>
    </dataValidation>
    <dataValidation type="list" operator="between" allowBlank="true" showInputMessage="true" showErrorMessage="true" sqref="O114:O115">
      <formula1>"Yes,No"</formula1>
    </dataValidation>
    <dataValidation type="decimal" operator="between" allowBlank="true" showInputMessage="true" showErrorMessage="true" errorTitle="Screen size (in inches) diagonal" error="numeric format expected - for instance 99,99 - or length characters exceeded" sqref="O117">
      <formula1>0</formula1>
      <formula2>99.99</formula2>
    </dataValidation>
    <dataValidation type="whole" operator="between" allowBlank="true" showInputMessage="true" showErrorMessage="true" errorTitle="Width (px)" error="Integer size 4 expected or lenght characters exceeded" sqref="O118">
      <formula1>0</formula1>
      <formula2>9999</formula2>
    </dataValidation>
    <dataValidation type="whole" operator="between" allowBlank="true" showInputMessage="true" showErrorMessage="true" errorTitle="Height (px)" error="Integer size 4 expected or lenght characters exceeded" sqref="O119">
      <formula1>0</formula1>
      <formula2>9999</formula2>
    </dataValidation>
    <dataValidation type="list" operator="between" allowBlank="true" showInputMessage="true" showErrorMessage="true" sqref="O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O121">
      <formula1>0</formula1>
      <formula2>9999</formula2>
    </dataValidation>
    <dataValidation type="textLength" operator="between" allowBlank="true" showInputMessage="true" showErrorMessage="true" errorTitle="Contrast ratio" error="Expected length 0&lt;= value length &lt;51" sqref="O122">
      <formula1>0</formula1>
      <formula2>50</formula2>
    </dataValidation>
    <dataValidation type="textLength" operator="between" allowBlank="true" showInputMessage="true" showErrorMessage="true" errorTitle="Brightness (cd/m2)" error="Expected length 0&lt;= value length &lt;51" sqref="O123">
      <formula1>0</formula1>
      <formula2>50</formula2>
    </dataValidation>
    <dataValidation type="list" operator="between" allowBlank="true" showInputMessage="true" showErrorMessage="true" sqref="O124:O126">
      <formula1>"Yes,No"</formula1>
    </dataValidation>
    <dataValidation type="list" operator="between" allowBlank="true" showInputMessage="true" showErrorMessage="true" sqref="O128">
      <formula1>"Yes,No"</formula1>
    </dataValidation>
    <dataValidation type="list" operator="between" allowBlank="true" showInputMessage="true" showErrorMessage="true" sqref="O129">
      <formula1>"No,2,3,4,5,More"</formula1>
    </dataValidation>
    <dataValidation type="list" operator="between" allowBlank="true" showInputMessage="true" showErrorMessage="true" sqref="O130">
      <formula1>"No,2FF,3FF (MicroSIM),4FF (nano SIM),e-SIM,e-SIM or 4FF (nano SIM)"</formula1>
    </dataValidation>
    <dataValidation type="list" operator="between" allowBlank="true" showInputMessage="true" showErrorMessage="true" sqref="O132">
      <formula1>='Listes deroulantes'!$U$2:$U$28</formula1>
    </dataValidation>
    <dataValidation type="textLength" operator="between" allowBlank="true" showInputMessage="true" showErrorMessage="true" errorTitle="Wi-FI chipset name" error="Alphanumeric size 50 characters exceeded" sqref="O133">
      <formula1>0</formula1>
      <formula2>50</formula2>
    </dataValidation>
    <dataValidation type="list" operator="between" allowBlank="true" showInputMessage="true" showErrorMessage="true" sqref="O134:O148">
      <formula1>"Yes,No"</formula1>
    </dataValidation>
    <dataValidation type="list" operator="between" allowBlank="true" showInputMessage="true" showErrorMessage="true" sqref="O149">
      <formula1>"2x2,4x4,6x6,8x8"</formula1>
    </dataValidation>
    <dataValidation type="list" operator="between" allowBlank="true" showInputMessage="true" showErrorMessage="true" sqref="O150">
      <formula1>='Listes deroulantes'!$V$2:$V$16</formula1>
    </dataValidation>
    <dataValidation type="textLength" operator="between" allowBlank="true" showInputMessage="true" showErrorMessage="true" errorTitle="Bluetooth Profile" error="Alphanumeric size 100 characters exceeded" sqref="O151">
      <formula1>0</formula1>
      <formula2>100</formula2>
    </dataValidation>
    <dataValidation type="list" operator="between" allowBlank="true" showInputMessage="true" showErrorMessage="true" sqref="O152:O154">
      <formula1>"Yes,No"</formula1>
    </dataValidation>
    <dataValidation type="list" operator="between" allowBlank="true" showInputMessage="true" showErrorMessage="true" sqref="O158">
      <formula1>"No,A-GPS,GPS Standalone,GNSS"</formula1>
    </dataValidation>
    <dataValidation type="list" operator="between" allowBlank="true" showInputMessage="true" showErrorMessage="true" sqref="O159">
      <formula1>='Listes deroulantes'!$Q$2:$Q$10</formula1>
    </dataValidation>
    <dataValidation type="list" operator="between" allowBlank="true" showInputMessage="true" showErrorMessage="true" sqref="O160">
      <formula1>='Listes deroulantes'!$W$2:$W$9</formula1>
    </dataValidation>
    <dataValidation type="list" operator="between" allowBlank="true" showInputMessage="true" showErrorMessage="true" sqref="O161:O166">
      <formula1>"Yes,No"</formula1>
    </dataValidation>
    <dataValidation type="list" operator="between" allowBlank="true" showInputMessage="true" showErrorMessage="true" sqref="O168:O172">
      <formula1>"Yes,No"</formula1>
    </dataValidation>
    <dataValidation type="whole" operator="between" allowBlank="true" showInputMessage="true" showErrorMessage="true" errorTitle="Battery capacity (mAh)" error="Integer size 5 expected or lenght characters exceeded" sqref="O176">
      <formula1>0</formula1>
      <formula2>99999</formula2>
    </dataValidation>
    <dataValidation type="list" operator="between" allowBlank="true" showInputMessage="true" showErrorMessage="true" sqref="O177">
      <formula1>"Li-Ion,Li-Poly,Li-Ion-Poly,Li-Technology,NiMH"</formula1>
    </dataValidation>
    <dataValidation type="list" operator="between" allowBlank="true" showInputMessage="true" showErrorMessage="true" sqref="O178">
      <formula1>"Yes,No"</formula1>
    </dataValidation>
    <dataValidation type="list" operator="between" allowBlank="true" showInputMessage="true" showErrorMessage="true" sqref="O179">
      <formula1>"No,Qi,Other"</formula1>
    </dataValidation>
    <dataValidation type="list" operator="between" allowBlank="true" showInputMessage="true" showErrorMessage="true" sqref="O180">
      <formula1>"No,Pump Express,Quick Charge 2.0,Other"</formula1>
    </dataValidation>
    <dataValidation type="list" operator="between" allowBlank="true" showInputMessage="true" showErrorMessage="true" sqref="O182">
      <formula1>"2TB,1TB,512GB,256GB,128GB,64GB,32GB,16GB,8GB,4GB,2GB,1GB,512MB,256MB,128MB"</formula1>
    </dataValidation>
    <dataValidation type="list" operator="between" allowBlank="true" showInputMessage="true" showErrorMessage="true" sqref="O183:O186">
      <formula1>"Yes,No"</formula1>
    </dataValidation>
    <dataValidation type="list" operator="between" allowBlank="true" showErrorMessage="true" sqref="O187">
      <formula1>='Listes deroulantes'!$S$2:$S$28</formula1>
    </dataValidation>
    <dataValidation type="list" operator="between" allowBlank="true" showInputMessage="true" showErrorMessage="true" sqref="O189:O198">
      <formula1>"Yes,No"</formula1>
    </dataValidation>
    <dataValidation type="list" operator="between" allowBlank="true" showInputMessage="true" showErrorMessage="true" sqref="O200:O202">
      <formula1>"Yes,No"</formula1>
    </dataValidation>
    <dataValidation type="list" operator="between" allowBlank="true" showInputMessage="true" showErrorMessage="true" sqref="O203">
      <formula1>"No,Picture Basic,Picture Rich,Video Basic,Video Rich,Megapixel,"</formula1>
    </dataValidation>
    <dataValidation type="list" operator="between" allowBlank="true" showInputMessage="true" showErrorMessage="true" sqref="O204">
      <formula1>"600 kB,300 kB,100 kB,30 kB"</formula1>
    </dataValidation>
    <dataValidation type="list" operator="between" allowBlank="true" showInputMessage="true" showErrorMessage="true" sqref="O205">
      <formula1>"No,Android Messages,OEM native messenger"</formula1>
    </dataValidation>
    <dataValidation type="list" operator="between" allowBlank="true" showInputMessage="true" showErrorMessage="true" sqref="O207">
      <formula1>"No,Integrated,Integrated AND Autofocus"</formula1>
    </dataValidation>
    <dataValidation type="list" operator="between" allowBlank="true" showInputMessage="true" showErrorMessage="true" sqref="O208">
      <formula1>"1,2,3,4,5"</formula1>
    </dataValidation>
    <dataValidation type="decimal" operator="between" allowBlank="true" showInputMessage="true" showErrorMessage="true" errorTitle="Main Camera1 resolution (Mpx)" error="numeric format expected - for instance 999,99 - or length characters exceeded" sqref="O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O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O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O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O213">
      <formula1>0</formula1>
      <formula2>999.99</formula2>
    </dataValidation>
    <dataValidation type="list" operator="between" allowBlank="true" showInputMessage="true" showErrorMessage="true" sqref="O214:O215">
      <formula1>"Yes,No"</formula1>
    </dataValidation>
    <dataValidation type="textLength" operator="between" allowBlank="true" showInputMessage="true" showErrorMessage="true" errorTitle="Main Camera comments" error="Alphanumeric size 500 characters exceeded" sqref="O216">
      <formula1>0</formula1>
      <formula2>500</formula2>
    </dataValidation>
    <dataValidation type="textLength" operator="between" allowBlank="true" showInputMessage="true" showErrorMessage="true" errorTitle="Main Camera Features" error="Alphanumeric size 500 characters exceeded" sqref="O217">
      <formula1>0</formula1>
      <formula2>500</formula2>
    </dataValidation>
    <dataValidation type="textLength" operator="between" allowBlank="true" showInputMessage="true" showErrorMessage="true" errorTitle="Main Camera video" error="Alphanumeric size 500 characters exceeded" sqref="O218">
      <formula1>0</formula1>
      <formula2>500</formula2>
    </dataValidation>
    <dataValidation type="list" operator="between" allowBlank="true" showInputMessage="true" showErrorMessage="true" sqref="O219">
      <formula1>"f/0.30,f/0.60,f/0.70,f/0.75,f/0.80,f/0.85,f/0.90,f/0.95,f/1.0,f/1.1,f/1.2,f/1.3,f/1.4,f/1.5,f/1.6,f/1.7,f/1.8,f/1.9,f/2.0,f/2.1,f/2.2,f/2.3,f/2.4,f/2.5,f/2.8,f/2.9,f/3.0"</formula1>
    </dataValidation>
    <dataValidation type="list" operator="between" allowBlank="true" showInputMessage="true" showErrorMessage="true" sqref="O220">
      <formula1>"Yes,No"</formula1>
    </dataValidation>
    <dataValidation type="list" operator="between" allowBlank="true" showInputMessage="true" showErrorMessage="true" sqref="O221">
      <formula1>"No,LED,2 LED,Xenon,Other"</formula1>
    </dataValidation>
    <dataValidation type="list" operator="between" allowBlank="true" showInputMessage="true" showErrorMessage="true" sqref="O223">
      <formula1>"No,Integrated,Integrated AND Autofocus"</formula1>
    </dataValidation>
    <dataValidation type="list" operator="between" allowBlank="true" showInputMessage="true" showErrorMessage="true" sqref="O224">
      <formula1>"1,2"</formula1>
    </dataValidation>
    <dataValidation type="decimal" operator="between" allowBlank="true" showInputMessage="true" showErrorMessage="true" errorTitle="Selfie Camera1 resolution (Mpx)" error="numeric format expected - for instance 999,99 - or length characters exceeded" sqref="O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O226">
      <formula1>0</formula1>
      <formula2>999.99</formula2>
    </dataValidation>
    <dataValidation type="list" operator="between" allowBlank="true" showInputMessage="true" showErrorMessage="true" sqref="O227:O228">
      <formula1>"Yes,No"</formula1>
    </dataValidation>
    <dataValidation type="textLength" operator="between" allowBlank="true" showInputMessage="true" showErrorMessage="true" errorTitle="Selfie Camera comments" error="Alphanumeric size 500 characters exceeded" sqref="O229">
      <formula1>0</formula1>
      <formula2>500</formula2>
    </dataValidation>
    <dataValidation type="textLength" operator="between" allowBlank="true" showInputMessage="true" showErrorMessage="true" errorTitle="Selfie Camera Features" error="Alphanumeric size 500 characters exceeded" sqref="O230">
      <formula1>0</formula1>
      <formula2>500</formula2>
    </dataValidation>
    <dataValidation type="textLength" operator="between" allowBlank="true" showInputMessage="true" showErrorMessage="true" errorTitle="Selfie Camera video" error="Alphanumeric size 500 characters exceeded" sqref="O231">
      <formula1>0</formula1>
      <formula2>500</formula2>
    </dataValidation>
    <dataValidation type="list" operator="between" allowBlank="true" showInputMessage="true" showErrorMessage="true" sqref="O233:O239">
      <formula1>"Yes,No"</formula1>
    </dataValidation>
    <dataValidation type="list" operator="between" allowBlank="true" showInputMessage="true" showErrorMessage="true" sqref="O241">
      <formula1>"Yes,No"</formula1>
    </dataValidation>
    <dataValidation type="list" operator="between" allowBlank="true" showInputMessage="true" showErrorMessage="true" sqref="O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O244">
      <formula1>0</formula1>
      <formula2>9.99</formula2>
    </dataValidation>
    <dataValidation type="decimal" operator="between" allowBlank="true" showInputMessage="true" showErrorMessage="true" errorTitle="SAR head (Watt/kg)" error="numeric format expected - for instance 9,999 - or length characters exceeded" sqref="O245:O246">
      <formula1>0</formula1>
      <formula2>9.99</formula2>
    </dataValidation>
    <dataValidation type="decimal" operator="between" allowBlank="true" showInputMessage="true" showErrorMessage="true" errorTitle="Production value (kg CO2eq) " error="Numeric expected with max size 99,99" sqref="O249">
      <formula1>0</formula1>
      <formula2>99.99</formula2>
    </dataValidation>
    <dataValidation type="decimal" operator="between" allowBlank="true" showInputMessage="true" showErrorMessage="true" errorTitle="Transportation value (kg CO2eq)" error="Numeric expected with max size 99,99" sqref="O250">
      <formula1>0</formula1>
      <formula2>99.99</formula2>
    </dataValidation>
    <dataValidation type="list" operator="between" allowBlank="true" showInputMessage="true" showErrorMessage="true" error="Integer expected with max size 100" sqref="O252">
      <formula1>"R02,R03,R04,R05"</formula1>
    </dataValidation>
    <dataValidation type="decimal" operator="between" allowBlank="true" showInputMessage="true" showErrorMessage="true" errorTitle="Production value (kg CO2eq) " error="Numeric expected with max size 99,99" sqref="O253">
      <formula1>0</formula1>
      <formula2>99.99</formula2>
    </dataValidation>
    <dataValidation type="decimal" operator="between" allowBlank="true" showInputMessage="true" showErrorMessage="true" errorTitle="Adjustment for memory variant" error="-101&lt;Value expected&lt;101" sqref="O254">
      <formula1>-100.99</formula1>
      <formula2>100.99</formula2>
    </dataValidation>
    <dataValidation type="decimal" operator="between" allowBlank="true" showInputMessage="true" showErrorMessage="true" errorTitle="Transportation value (kg CO2eq)" error="Numeric expected with max size 99,99" sqref="O255">
      <formula1>0</formula1>
      <formula2>99.99</formula2>
    </dataValidation>
    <dataValidation type="decimal" operator="between" allowBlank="true" showInputMessage="true" showErrorMessage="true" errorTitle="Production value (kg CO2eq) " error="Numeric expected with max size 99,99" sqref="O257">
      <formula1>0</formula1>
      <formula2>99.99</formula2>
    </dataValidation>
    <dataValidation type="decimal" operator="between" allowBlank="true" showInputMessage="true" showErrorMessage="true" errorTitle="Adjustment for memory variant" error="-101&lt;Value expected&lt;101" sqref="O258">
      <formula1>-100.99</formula1>
      <formula2>100.99</formula2>
    </dataValidation>
    <dataValidation type="decimal" operator="between" allowBlank="true" showInputMessage="true" showErrorMessage="true" errorTitle="Transportation value (kg CO2eq)" error="Numeric expected with max size 99,99" sqref="O259">
      <formula1>0</formula1>
      <formula2>99.99</formula2>
    </dataValidation>
    <dataValidation type="list" operator="between" allowBlank="true" showInputMessage="true" showErrorMessage="true" sqref="O260">
      <formula1>"World,EU,MEA"</formula1>
    </dataValidation>
    <dataValidation type="whole" operator="between" allowBlank="true" showInputMessage="true" showErrorMessage="true" error="Integer expected with max size 100" sqref="O265">
      <formula1>43101</formula1>
      <formula2>54788</formula2>
    </dataValidation>
    <dataValidation type="decimal" operator="between" allowBlank="true" showInputMessage="true" showErrorMessage="true" error="Numeric range expected from 0,00 to 999,99" sqref="O266">
      <formula1>0</formula1>
      <formula2>999.99</formula2>
    </dataValidation>
    <dataValidation type="date" operator="between" allowBlank="true" showInputMessage="true" showErrorMessage="true" error="Integer expected with max size 100" sqref="O267">
      <formula1>43101</formula1>
      <formula2>54788</formula2>
    </dataValidation>
    <dataValidation type="decimal" operator="between" allowBlank="true" showInputMessage="true" showErrorMessage="true" error="Numeric range expected from 0,00 to 999,99" sqref="O268">
      <formula1>0</formula1>
      <formula2>999.99</formula2>
    </dataValidation>
    <dataValidation type="whole" operator="between" allowBlank="true" showInputMessage="true" showErrorMessage="true" error="Integer expected with max size 100" sqref="O272">
      <formula1>43101</formula1>
      <formula2>54788</formula2>
    </dataValidation>
    <dataValidation type="decimal" operator="between" allowBlank="true" showInputMessage="true" showErrorMessage="true" error="Numeric range expected from 0,00 to 999,99" sqref="O273">
      <formula1>0</formula1>
      <formula2>999.99</formula2>
    </dataValidation>
    <dataValidation type="date" operator="between" allowBlank="true" showInputMessage="true" showErrorMessage="true" error="Integer expected with max size 100" sqref="O274">
      <formula1>43101</formula1>
      <formula2>54788</formula2>
    </dataValidation>
    <dataValidation type="decimal" operator="between" allowBlank="true" showInputMessage="true" showErrorMessage="true" error="Numeric range expected from 0,00 to 999,99" sqref="O275">
      <formula1>0</formula1>
      <formula2>999.99</formula2>
    </dataValidation>
    <dataValidation type="whole" operator="between" allowBlank="true" showInputMessage="true" showErrorMessage="true" error="Integer expected with max size 100" sqref="O279">
      <formula1>43101</formula1>
      <formula2>54788</formula2>
    </dataValidation>
    <dataValidation type="decimal" operator="between" allowBlank="true" showInputMessage="true" showErrorMessage="true" error="Numeric range expected from 0,00 to 999,99" sqref="O280">
      <formula1>0</formula1>
      <formula2>999.99</formula2>
    </dataValidation>
    <dataValidation type="date" operator="between" allowBlank="true" showInputMessage="true" showErrorMessage="true" error="Integer expected with max size 100" sqref="O281">
      <formula1>43101</formula1>
      <formula2>54788</formula2>
    </dataValidation>
    <dataValidation type="decimal" operator="between" allowBlank="true" showInputMessage="true" showErrorMessage="true" error="Numeric range expected from 0,00 to 999,99" sqref="O282">
      <formula1>0</formula1>
      <formula2>999.99</formula2>
    </dataValidation>
    <dataValidation type="textLength" errorStyle="stop" operator="between" allowBlank="true" showDropDown="false" showInputMessage="true" showErrorMessage="true" prompt="" sqref="P2">
      <formula1>1</formula1>
      <formula2>10000</formula2>
    </dataValidation>
    <dataValidation type="list" operator="between" allowBlank="true" showInputMessage="true" showErrorMessage="true" sqref="P6">
      <formula1>"Mobile,Tablet"</formula1>
    </dataValidation>
    <dataValidation type="textLength" operator="between" allowBlank="true" showInputMessage="true" showErrorMessage="true" errorTitle="Brand name" error="Alphanumeric size from 3 to 50 characters" sqref="P7">
      <formula1>3</formula1>
      <formula2>50</formula2>
    </dataValidation>
    <dataValidation type="textLength" operator="between" allowBlank="true" showInputMessage="true" showErrorMessage="true" errorTitle="GCF Model name" error="Alphanumeric size 64 characters exceeded" sqref="P8">
      <formula1>0</formula1>
      <formula2>64</formula2>
    </dataValidation>
    <dataValidation type="textLength" operator="between" allowBlank="true" showInputMessage="true" showErrorMessage="true" errorTitle="Comments" error="Alphanumeric size 2000 characters exceeded" sqref="P9">
      <formula1>0</formula1>
      <formula2>2000</formula2>
    </dataValidation>
    <dataValidation type="date" operator="between" allowBlank="true" showErrorMessage="true" errorTitle="Marketing samples availability" error="Date expected" sqref="P10">
      <formula1>43101</formula1>
      <formula2>54788</formula2>
    </dataValidation>
    <dataValidation type="date" operator="between" allowBlank="true" showErrorMessage="true" errorTitle="Technical samples availability" error="Date expected" sqref="P11">
      <formula1>43101</formula1>
      <formula2>54788</formula2>
    </dataValidation>
    <dataValidation type="date" operator="between" allowBlank="true" showErrorMessage="true" errorTitle="Expected Generic Street Launch" error="Date expected" sqref="P12">
      <formula1>43101</formula1>
      <formula2>54788</formula2>
    </dataValidation>
    <dataValidation type="date" operator="between" allowBlank="true" showErrorMessage="true" errorTitle="Expected availability warehouse" error="Date expected" sqref="P13">
      <formula1>43101</formula1>
      <formula2>54788</formula2>
    </dataValidation>
    <dataValidation type="date" operator="between" allowBlank="true" showErrorMessage="true" errorTitle="GCF date" error="Date expected" sqref="P14:P15">
      <formula1>43101</formula1>
      <formula2>54788</formula2>
    </dataValidation>
    <dataValidation type="date" operator="between" allowBlank="true" showErrorMessage="true" errorTitle="Wi-Fi alliance date" error="Date expected" sqref="P16">
      <formula1>43101</formula1>
      <formula2>54788</formula2>
    </dataValidation>
    <dataValidation type="list" operator="between" allowBlank="true" showInputMessage="true" showErrorMessage="true" sqref="P17">
      <formula1>"Flagship,Everyday Superphone,Essential Smartphone,Voice,Not applicable"</formula1>
    </dataValidation>
    <dataValidation type="decimal" operator="between" allowBlank="true" showInputMessage="true" showErrorMessage="true" errorTitle="Repairability index" error="Numeric expected with max size 10,00" sqref="P18">
      <formula1>0</formula1>
      <formula2>10</formula2>
    </dataValidation>
    <dataValidation type="textLength" operator="between" allowBlank="true" showInputMessage="true" showErrorMessage="true" errorTitle="Comments" error="Alphanumeric size 2000 characters exceeded" sqref="P19">
      <formula1>0</formula1>
      <formula2>2000</formula2>
    </dataValidation>
    <dataValidation type="textLength" operator="between" allowBlank="true" showInputMessage="true" showErrorMessage="true" errorTitle="Commercial name" error="Alphanumeric size 120 characters exceeded" sqref="P21">
      <formula1>0</formula1>
      <formula2>120</formula2>
    </dataValidation>
    <dataValidation type="textLength" operator="between" allowBlank="true" showInputMessage="true" showErrorMessage="true" errorTitle="Orange Variant name" error="Alphanumeric size 120 characters exceeded" sqref="P22">
      <formula1>0</formula1>
      <formula2>240</formula2>
    </dataValidation>
    <dataValidation type="list" operator="between" allowBlank="true" showInputMessage="true" showErrorMessage="true" sqref="P23">
      <formula1>"ODM - OBD, ODM - Not OBD"</formula1>
    </dataValidation>
    <dataValidation type="list" operator="between" allowBlank="true" showInputMessage="true" showErrorMessage="true" sqref="P24">
      <formula1>"Flagship,Everyday Superphone,Essential Smartphone,Voice,Not applicable"</formula1>
    </dataValidation>
    <dataValidation type="list" operator="between" allowBlank="true" showInputMessage="true" showErrorMessage="true" sqref="P25">
      <formula1>"Essential Smartphone High,Essential Smartphone Entry,Not applicable"</formula1>
    </dataValidation>
    <dataValidation type="list" operator="between" allowBlank="true" showInputMessage="true" showErrorMessage="true" sqref="P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P29">
      <formula1>0</formula1>
      <formula2>50</formula2>
    </dataValidation>
    <dataValidation type="textLength" operator="between" allowBlank="true" showInputMessage="true" showErrorMessage="true" errorTitle="Hardware Platform ref name" error="Alphanumeric size 50 characters exceeded" sqref="P30">
      <formula1>0</formula1>
      <formula2>50</formula2>
    </dataValidation>
    <dataValidation type="list" operator="between" allowBlank="true" showInputMessage="true" showErrorMessage="true" sqref="P31">
      <formula1>='Listes deroulantes'!$U$2:$U$28</formula1>
    </dataValidation>
    <dataValidation type="textLength" operator="between" allowBlank="true" showInputMessage="true" showErrorMessage="true" errorTitle="Baseband chipset name" error="Alphanumeric size 50 characters exceeded" sqref="P32">
      <formula1>0</formula1>
      <formula2>50</formula2>
    </dataValidation>
    <dataValidation type="list" operator="between" allowBlank="true" showInputMessage="true" showErrorMessage="true" sqref="P33">
      <formula1>"0,1,2,3,4,6,8,Others"</formula1>
    </dataValidation>
    <dataValidation type="list" operator="between" allowBlank="true" showInputMessage="true" showErrorMessage="true" sqref="P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P37">
      <formula1>0</formula1>
      <formula2>10</formula2>
    </dataValidation>
    <dataValidation type="textLength" operator="between" allowBlank="true" showInputMessage="true" showErrorMessage="true" errorTitle="Nb of OS Android patch upgrade" error="Integer size 2 characters exceeded" sqref="P38">
      <formula1>0</formula1>
      <formula2>2</formula2>
    </dataValidation>
    <dataValidation type="textLength" operator="between" allowBlank="true" showInputMessage="true" showErrorMessage="true" errorTitle="OS Android patch upgrade (years)" error="Integer size 2 characters exceeded" sqref="P39">
      <formula1>0</formula1>
      <formula2>2</formula2>
    </dataValidation>
    <dataValidation type="list" operator="between" allowBlank="true" showInputMessage="true" showErrorMessage="true" errorTitle="Frequency Android OS security" error="Value not allowed, select value from drop down menu" sqref="P40">
      <formula1>"Monthly,Quarterly,Half-yearly,Yearly"</formula1>
    </dataValidation>
    <dataValidation type="list" operator="between" allowBlank="true" showInputMessage="true" showErrorMessage="true" sqref="P42:P48">
      <formula1>"Yes,No"</formula1>
    </dataValidation>
    <dataValidation type="list" operator="between" allowBlank="true" showInputMessage="true" showErrorMessage="true" sqref="P49">
      <formula1>"FDD,TDD,FDD / TDD"</formula1>
    </dataValidation>
    <dataValidation type="list" operator="between" allowBlank="true" showInputMessage="true" showErrorMessage="true" sqref="P50">
      <formula1>='Listes deroulantes'!$A$2:$A$32</formula1>
    </dataValidation>
    <dataValidation type="list" operator="between" allowBlank="true" showInputMessage="true" showErrorMessage="true" sqref="P51">
      <formula1>='Listes deroulantes'!$E$2:$E$26</formula1>
    </dataValidation>
    <dataValidation type="list" operator="between" allowBlank="true" showInputMessage="true" showErrorMessage="true" sqref="P52">
      <formula1>='Listes deroulantes'!$C$2:$C$23</formula1>
    </dataValidation>
    <dataValidation type="list" operator="between" allowBlank="true" showInputMessage="true" showErrorMessage="true" sqref="P53:P56">
      <formula1>"Yes,No"</formula1>
    </dataValidation>
    <dataValidation type="list" operator="between" allowBlank="true" showInputMessage="true" showErrorMessage="true" sqref="P57">
      <formula1>"No,2x2,4x4,4x2"</formula1>
    </dataValidation>
    <dataValidation type="list" operator="between" allowBlank="true" showInputMessage="true" showErrorMessage="true" sqref="P58">
      <formula1>"No,2x2"</formula1>
    </dataValidation>
    <dataValidation type="list" operator="between" allowBlank="true" showInputMessage="true" showErrorMessage="true" sqref="P59">
      <formula1>"No,2,3,4,5,6,7,8"</formula1>
    </dataValidation>
    <dataValidation type="list" operator="between" allowBlank="true" showInputMessage="true" showErrorMessage="true" sqref="P60">
      <formula1>='Listes deroulantes'!$G$2:$G$5</formula1>
    </dataValidation>
    <dataValidation type="list" operator="between" allowBlank="true" showInputMessage="true" showErrorMessage="true" sqref="P61">
      <formula1>='Listes deroulantes'!$I$2:$I$3</formula1>
    </dataValidation>
    <dataValidation type="list" operator="between" allowBlank="true" showInputMessage="true" showErrorMessage="true" sqref="P62">
      <formula1>='Listes deroulantes'!$K$2:$K$4</formula1>
    </dataValidation>
    <dataValidation type="list" operator="between" allowBlank="true" showInputMessage="true" showErrorMessage="true" sqref="P64:P97">
      <formula1>"Yes,No"</formula1>
    </dataValidation>
    <dataValidation type="list" operator="between" allowBlank="true" showInputMessage="true" showErrorMessage="true" sqref="P98:P99">
      <formula1>='Listes deroulantes'!$I$2:$I$3</formula1>
    </dataValidation>
    <dataValidation type="list" operator="between" allowBlank="true" showInputMessage="true" showErrorMessage="true" sqref="P100">
      <formula1>='Listes deroulantes'!$M$2:$M$18</formula1>
    </dataValidation>
    <dataValidation type="list" operator="between" allowBlank="true" showInputMessage="true" showErrorMessage="true" sqref="P101">
      <formula1>='Listes deroulantes'!$O$2:$O$4</formula1>
    </dataValidation>
    <dataValidation type="decimal" operator="between" allowBlank="true" showInputMessage="true" showErrorMessage="true" errorTitle="Weight (g)" error="numeric format expected - for instance 999,99 maximum - or length characters exceeded" sqref="P103:P106">
      <formula1>0</formula1>
      <formula2>999.99</formula2>
    </dataValidation>
    <dataValidation type="list" operator="between" allowBlank="true" showInputMessage="true" showErrorMessage="true" sqref="P107">
      <formula1>"Bar,Messenger bar,Clamshell,Slide,Touch,Messenger/sliding touch,Other"</formula1>
    </dataValidation>
    <dataValidation type="list" operator="between" allowBlank="true" showInputMessage="true" showErrorMessage="true" sqref="P108:P109">
      <formula1>"Yes,No"</formula1>
    </dataValidation>
    <dataValidation type="list" operator="between" allowBlank="true" showInputMessage="true" showErrorMessage="true" sqref="P110">
      <formula1>"Hard AZERTY/QWERTY,Touch AZERTY/QWERTY,Hard 20 keys,Numeric keypad only	"</formula1>
    </dataValidation>
    <dataValidation type="list" operator="between" allowBlank="true" showInputMessage="true" showErrorMessage="true" sqref="P111">
      <formula1>"Yes,No"</formula1>
    </dataValidation>
    <dataValidation type="list" operator="between" allowBlank="true" showInputMessage="true" showErrorMessage="true" sqref="P112">
      <formula1>"2m,1.8m,1.5m,1.2m,1.0m,&lt;1.0m"</formula1>
    </dataValidation>
    <dataValidation type="list" operator="between" allowBlank="true" showInputMessage="true" showErrorMessage="true" sqref="P113">
      <formula1>"IP52,IP54,IP57,IP58,IP64,IP67,IP68,Not known,Other"</formula1>
    </dataValidation>
    <dataValidation type="list" operator="between" allowBlank="true" showInputMessage="true" showErrorMessage="true" sqref="P114:P115">
      <formula1>"Yes,No"</formula1>
    </dataValidation>
    <dataValidation type="decimal" operator="between" allowBlank="true" showInputMessage="true" showErrorMessage="true" errorTitle="Screen size (in inches) diagonal" error="numeric format expected - for instance 99,99 - or length characters exceeded" sqref="P117">
      <formula1>0</formula1>
      <formula2>99.99</formula2>
    </dataValidation>
    <dataValidation type="whole" operator="between" allowBlank="true" showInputMessage="true" showErrorMessage="true" errorTitle="Width (px)" error="Integer size 4 expected or lenght characters exceeded" sqref="P118">
      <formula1>0</formula1>
      <formula2>9999</formula2>
    </dataValidation>
    <dataValidation type="whole" operator="between" allowBlank="true" showInputMessage="true" showErrorMessage="true" errorTitle="Height (px)" error="Integer size 4 expected or lenght characters exceeded" sqref="P119">
      <formula1>0</formula1>
      <formula2>9999</formula2>
    </dataValidation>
    <dataValidation type="list" operator="between" allowBlank="true" showInputMessage="true" showErrorMessage="true" sqref="P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P121">
      <formula1>0</formula1>
      <formula2>9999</formula2>
    </dataValidation>
    <dataValidation type="textLength" operator="between" allowBlank="true" showInputMessage="true" showErrorMessage="true" errorTitle="Contrast ratio" error="Expected length 0&lt;= value length &lt;51" sqref="P122">
      <formula1>0</formula1>
      <formula2>50</formula2>
    </dataValidation>
    <dataValidation type="textLength" operator="between" allowBlank="true" showInputMessage="true" showErrorMessage="true" errorTitle="Brightness (cd/m2)" error="Expected length 0&lt;= value length &lt;51" sqref="P123">
      <formula1>0</formula1>
      <formula2>50</formula2>
    </dataValidation>
    <dataValidation type="list" operator="between" allowBlank="true" showInputMessage="true" showErrorMessage="true" sqref="P124:P126">
      <formula1>"Yes,No"</formula1>
    </dataValidation>
    <dataValidation type="list" operator="between" allowBlank="true" showInputMessage="true" showErrorMessage="true" sqref="P128">
      <formula1>"Yes,No"</formula1>
    </dataValidation>
    <dataValidation type="list" operator="between" allowBlank="true" showInputMessage="true" showErrorMessage="true" sqref="P129">
      <formula1>"No,2,3,4,5,More"</formula1>
    </dataValidation>
    <dataValidation type="list" operator="between" allowBlank="true" showInputMessage="true" showErrorMessage="true" sqref="P130">
      <formula1>"No,2FF,3FF (MicroSIM),4FF (nano SIM),e-SIM,e-SIM or 4FF (nano SIM)"</formula1>
    </dataValidation>
    <dataValidation type="list" operator="between" allowBlank="true" showInputMessage="true" showErrorMessage="true" sqref="P132">
      <formula1>='Listes deroulantes'!$U$2:$U$28</formula1>
    </dataValidation>
    <dataValidation type="textLength" operator="between" allowBlank="true" showInputMessage="true" showErrorMessage="true" errorTitle="Wi-FI chipset name" error="Alphanumeric size 50 characters exceeded" sqref="P133">
      <formula1>0</formula1>
      <formula2>50</formula2>
    </dataValidation>
    <dataValidation type="list" operator="between" allowBlank="true" showInputMessage="true" showErrorMessage="true" sqref="P134:P148">
      <formula1>"Yes,No"</formula1>
    </dataValidation>
    <dataValidation type="list" operator="between" allowBlank="true" showInputMessage="true" showErrorMessage="true" sqref="P149">
      <formula1>"2x2,4x4,6x6,8x8"</formula1>
    </dataValidation>
    <dataValidation type="list" operator="between" allowBlank="true" showInputMessage="true" showErrorMessage="true" sqref="P150">
      <formula1>='Listes deroulantes'!$V$2:$V$16</formula1>
    </dataValidation>
    <dataValidation type="textLength" operator="between" allowBlank="true" showInputMessage="true" showErrorMessage="true" errorTitle="Bluetooth Profile" error="Alphanumeric size 100 characters exceeded" sqref="P151">
      <formula1>0</formula1>
      <formula2>100</formula2>
    </dataValidation>
    <dataValidation type="list" operator="between" allowBlank="true" showInputMessage="true" showErrorMessage="true" sqref="P152:P154">
      <formula1>"Yes,No"</formula1>
    </dataValidation>
    <dataValidation type="list" operator="between" allowBlank="true" showInputMessage="true" showErrorMessage="true" sqref="P158">
      <formula1>"No,A-GPS,GPS Standalone,GNSS"</formula1>
    </dataValidation>
    <dataValidation type="list" operator="between" allowBlank="true" showInputMessage="true" showErrorMessage="true" sqref="P159">
      <formula1>='Listes deroulantes'!$Q$2:$Q$10</formula1>
    </dataValidation>
    <dataValidation type="list" operator="between" allowBlank="true" showInputMessage="true" showErrorMessage="true" sqref="P160">
      <formula1>='Listes deroulantes'!$W$2:$W$9</formula1>
    </dataValidation>
    <dataValidation type="list" operator="between" allowBlank="true" showInputMessage="true" showErrorMessage="true" sqref="P161:P166">
      <formula1>"Yes,No"</formula1>
    </dataValidation>
    <dataValidation type="list" operator="between" allowBlank="true" showInputMessage="true" showErrorMessage="true" sqref="P168:P172">
      <formula1>"Yes,No"</formula1>
    </dataValidation>
    <dataValidation type="whole" operator="between" allowBlank="true" showInputMessage="true" showErrorMessage="true" errorTitle="Battery capacity (mAh)" error="Integer size 5 expected or lenght characters exceeded" sqref="P176">
      <formula1>0</formula1>
      <formula2>99999</formula2>
    </dataValidation>
    <dataValidation type="list" operator="between" allowBlank="true" showInputMessage="true" showErrorMessage="true" sqref="P177">
      <formula1>"Li-Ion,Li-Poly,Li-Ion-Poly,Li-Technology,NiMH"</formula1>
    </dataValidation>
    <dataValidation type="list" operator="between" allowBlank="true" showInputMessage="true" showErrorMessage="true" sqref="P178">
      <formula1>"Yes,No"</formula1>
    </dataValidation>
    <dataValidation type="list" operator="between" allowBlank="true" showInputMessage="true" showErrorMessage="true" sqref="P179">
      <formula1>"No,Qi,Other"</formula1>
    </dataValidation>
    <dataValidation type="list" operator="between" allowBlank="true" showInputMessage="true" showErrorMessage="true" sqref="P180">
      <formula1>"No,Pump Express,Quick Charge 2.0,Other"</formula1>
    </dataValidation>
    <dataValidation type="list" operator="between" allowBlank="true" showInputMessage="true" showErrorMessage="true" sqref="P182">
      <formula1>"2TB,1TB,512GB,256GB,128GB,64GB,32GB,16GB,8GB,4GB,2GB,1GB,512MB,256MB,128MB"</formula1>
    </dataValidation>
    <dataValidation type="list" operator="between" allowBlank="true" showInputMessage="true" showErrorMessage="true" sqref="P183:P186">
      <formula1>"Yes,No"</formula1>
    </dataValidation>
    <dataValidation type="list" operator="between" allowBlank="true" showErrorMessage="true" sqref="P187">
      <formula1>='Listes deroulantes'!$S$2:$S$28</formula1>
    </dataValidation>
    <dataValidation type="list" operator="between" allowBlank="true" showInputMessage="true" showErrorMessage="true" sqref="P189:P198">
      <formula1>"Yes,No"</formula1>
    </dataValidation>
    <dataValidation type="list" operator="between" allowBlank="true" showInputMessage="true" showErrorMessage="true" sqref="P200:P202">
      <formula1>"Yes,No"</formula1>
    </dataValidation>
    <dataValidation type="list" operator="between" allowBlank="true" showInputMessage="true" showErrorMessage="true" sqref="P203">
      <formula1>"No,Picture Basic,Picture Rich,Video Basic,Video Rich,Megapixel,"</formula1>
    </dataValidation>
    <dataValidation type="list" operator="between" allowBlank="true" showInputMessage="true" showErrorMessage="true" sqref="P204">
      <formula1>"600 kB,300 kB,100 kB,30 kB"</formula1>
    </dataValidation>
    <dataValidation type="list" operator="between" allowBlank="true" showInputMessage="true" showErrorMessage="true" sqref="P205">
      <formula1>"No,Android Messages,OEM native messenger"</formula1>
    </dataValidation>
    <dataValidation type="list" operator="between" allowBlank="true" showInputMessage="true" showErrorMessage="true" sqref="P207">
      <formula1>"No,Integrated,Integrated AND Autofocus"</formula1>
    </dataValidation>
    <dataValidation type="list" operator="between" allowBlank="true" showInputMessage="true" showErrorMessage="true" sqref="P208">
      <formula1>"1,2,3,4,5"</formula1>
    </dataValidation>
    <dataValidation type="decimal" operator="between" allowBlank="true" showInputMessage="true" showErrorMessage="true" errorTitle="Main Camera1 resolution (Mpx)" error="numeric format expected - for instance 999,99 - or length characters exceeded" sqref="P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P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P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P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P213">
      <formula1>0</formula1>
      <formula2>999.99</formula2>
    </dataValidation>
    <dataValidation type="list" operator="between" allowBlank="true" showInputMessage="true" showErrorMessage="true" sqref="P214:P215">
      <formula1>"Yes,No"</formula1>
    </dataValidation>
    <dataValidation type="textLength" operator="between" allowBlank="true" showInputMessage="true" showErrorMessage="true" errorTitle="Main Camera comments" error="Alphanumeric size 500 characters exceeded" sqref="P216">
      <formula1>0</formula1>
      <formula2>500</formula2>
    </dataValidation>
    <dataValidation type="textLength" operator="between" allowBlank="true" showInputMessage="true" showErrorMessage="true" errorTitle="Main Camera Features" error="Alphanumeric size 500 characters exceeded" sqref="P217">
      <formula1>0</formula1>
      <formula2>500</formula2>
    </dataValidation>
    <dataValidation type="textLength" operator="between" allowBlank="true" showInputMessage="true" showErrorMessage="true" errorTitle="Main Camera video" error="Alphanumeric size 500 characters exceeded" sqref="P218">
      <formula1>0</formula1>
      <formula2>500</formula2>
    </dataValidation>
    <dataValidation type="list" operator="between" allowBlank="true" showInputMessage="true" showErrorMessage="true" sqref="P219">
      <formula1>"f/0.30,f/0.60,f/0.70,f/0.75,f/0.80,f/0.85,f/0.90,f/0.95,f/1.0,f/1.1,f/1.2,f/1.3,f/1.4,f/1.5,f/1.6,f/1.7,f/1.8,f/1.9,f/2.0,f/2.1,f/2.2,f/2.3,f/2.4,f/2.5,f/2.8,f/2.9,f/3.0"</formula1>
    </dataValidation>
    <dataValidation type="list" operator="between" allowBlank="true" showInputMessage="true" showErrorMessage="true" sqref="P220">
      <formula1>"Yes,No"</formula1>
    </dataValidation>
    <dataValidation type="list" operator="between" allowBlank="true" showInputMessage="true" showErrorMessage="true" sqref="P221">
      <formula1>"No,LED,2 LED,Xenon,Other"</formula1>
    </dataValidation>
    <dataValidation type="list" operator="between" allowBlank="true" showInputMessage="true" showErrorMessage="true" sqref="P223">
      <formula1>"No,Integrated,Integrated AND Autofocus"</formula1>
    </dataValidation>
    <dataValidation type="list" operator="between" allowBlank="true" showInputMessage="true" showErrorMessage="true" sqref="P224">
      <formula1>"1,2"</formula1>
    </dataValidation>
    <dataValidation type="decimal" operator="between" allowBlank="true" showInputMessage="true" showErrorMessage="true" errorTitle="Selfie Camera1 resolution (Mpx)" error="numeric format expected - for instance 999,99 - or length characters exceeded" sqref="P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P226">
      <formula1>0</formula1>
      <formula2>999.99</formula2>
    </dataValidation>
    <dataValidation type="list" operator="between" allowBlank="true" showInputMessage="true" showErrorMessage="true" sqref="P227:P228">
      <formula1>"Yes,No"</formula1>
    </dataValidation>
    <dataValidation type="textLength" operator="between" allowBlank="true" showInputMessage="true" showErrorMessage="true" errorTitle="Selfie Camera comments" error="Alphanumeric size 500 characters exceeded" sqref="P229">
      <formula1>0</formula1>
      <formula2>500</formula2>
    </dataValidation>
    <dataValidation type="textLength" operator="between" allowBlank="true" showInputMessage="true" showErrorMessage="true" errorTitle="Selfie Camera Features" error="Alphanumeric size 500 characters exceeded" sqref="P230">
      <formula1>0</formula1>
      <formula2>500</formula2>
    </dataValidation>
    <dataValidation type="textLength" operator="between" allowBlank="true" showInputMessage="true" showErrorMessage="true" errorTitle="Selfie Camera video" error="Alphanumeric size 500 characters exceeded" sqref="P231">
      <formula1>0</formula1>
      <formula2>500</formula2>
    </dataValidation>
    <dataValidation type="list" operator="between" allowBlank="true" showInputMessage="true" showErrorMessage="true" sqref="P233:P239">
      <formula1>"Yes,No"</formula1>
    </dataValidation>
    <dataValidation type="list" operator="between" allowBlank="true" showInputMessage="true" showErrorMessage="true" sqref="P241">
      <formula1>"Yes,No"</formula1>
    </dataValidation>
    <dataValidation type="list" operator="between" allowBlank="true" showInputMessage="true" showErrorMessage="true" sqref="P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P244">
      <formula1>0</formula1>
      <formula2>9.99</formula2>
    </dataValidation>
    <dataValidation type="decimal" operator="between" allowBlank="true" showInputMessage="true" showErrorMessage="true" errorTitle="SAR head (Watt/kg)" error="numeric format expected - for instance 9,999 - or length characters exceeded" sqref="P245:P246">
      <formula1>0</formula1>
      <formula2>9.99</formula2>
    </dataValidation>
    <dataValidation type="decimal" operator="between" allowBlank="true" showInputMessage="true" showErrorMessage="true" errorTitle="Production value (kg CO2eq) " error="Numeric expected with max size 99,99" sqref="P249">
      <formula1>0</formula1>
      <formula2>99.99</formula2>
    </dataValidation>
    <dataValidation type="decimal" operator="between" allowBlank="true" showInputMessage="true" showErrorMessage="true" errorTitle="Transportation value (kg CO2eq)" error="Numeric expected with max size 99,99" sqref="P250">
      <formula1>0</formula1>
      <formula2>99.99</formula2>
    </dataValidation>
    <dataValidation type="list" operator="between" allowBlank="true" showInputMessage="true" showErrorMessage="true" error="Integer expected with max size 100" sqref="P252">
      <formula1>"R02,R03,R04,R05"</formula1>
    </dataValidation>
    <dataValidation type="decimal" operator="between" allowBlank="true" showInputMessage="true" showErrorMessage="true" errorTitle="Production value (kg CO2eq) " error="Numeric expected with max size 99,99" sqref="P253">
      <formula1>0</formula1>
      <formula2>99.99</formula2>
    </dataValidation>
    <dataValidation type="decimal" operator="between" allowBlank="true" showInputMessage="true" showErrorMessage="true" errorTitle="Adjustment for memory variant" error="-101&lt;Value expected&lt;101" sqref="P254">
      <formula1>-100.99</formula1>
      <formula2>100.99</formula2>
    </dataValidation>
    <dataValidation type="decimal" operator="between" allowBlank="true" showInputMessage="true" showErrorMessage="true" errorTitle="Transportation value (kg CO2eq)" error="Numeric expected with max size 99,99" sqref="P255">
      <formula1>0</formula1>
      <formula2>99.99</formula2>
    </dataValidation>
    <dataValidation type="decimal" operator="between" allowBlank="true" showInputMessage="true" showErrorMessage="true" errorTitle="Production value (kg CO2eq) " error="Numeric expected with max size 99,99" sqref="P257">
      <formula1>0</formula1>
      <formula2>99.99</formula2>
    </dataValidation>
    <dataValidation type="decimal" operator="between" allowBlank="true" showInputMessage="true" showErrorMessage="true" errorTitle="Adjustment for memory variant" error="-101&lt;Value expected&lt;101" sqref="P258">
      <formula1>-100.99</formula1>
      <formula2>100.99</formula2>
    </dataValidation>
    <dataValidation type="decimal" operator="between" allowBlank="true" showInputMessage="true" showErrorMessage="true" errorTitle="Transportation value (kg CO2eq)" error="Numeric expected with max size 99,99" sqref="P259">
      <formula1>0</formula1>
      <formula2>99.99</formula2>
    </dataValidation>
    <dataValidation type="list" operator="between" allowBlank="true" showInputMessage="true" showErrorMessage="true" sqref="P260">
      <formula1>"World,EU,MEA"</formula1>
    </dataValidation>
    <dataValidation type="whole" operator="between" allowBlank="true" showInputMessage="true" showErrorMessage="true" error="Integer expected with max size 100" sqref="P265">
      <formula1>43101</formula1>
      <formula2>54788</formula2>
    </dataValidation>
    <dataValidation type="decimal" operator="between" allowBlank="true" showInputMessage="true" showErrorMessage="true" error="Numeric range expected from 0,00 to 999,99" sqref="P266">
      <formula1>0</formula1>
      <formula2>999.99</formula2>
    </dataValidation>
    <dataValidation type="date" operator="between" allowBlank="true" showInputMessage="true" showErrorMessage="true" error="Integer expected with max size 100" sqref="P267">
      <formula1>43101</formula1>
      <formula2>54788</formula2>
    </dataValidation>
    <dataValidation type="decimal" operator="between" allowBlank="true" showInputMessage="true" showErrorMessage="true" error="Numeric range expected from 0,00 to 999,99" sqref="P268">
      <formula1>0</formula1>
      <formula2>999.99</formula2>
    </dataValidation>
    <dataValidation type="whole" operator="between" allowBlank="true" showInputMessage="true" showErrorMessage="true" error="Integer expected with max size 100" sqref="P272">
      <formula1>43101</formula1>
      <formula2>54788</formula2>
    </dataValidation>
    <dataValidation type="decimal" operator="between" allowBlank="true" showInputMessage="true" showErrorMessage="true" error="Numeric range expected from 0,00 to 999,99" sqref="P273">
      <formula1>0</formula1>
      <formula2>999.99</formula2>
    </dataValidation>
    <dataValidation type="date" operator="between" allowBlank="true" showInputMessage="true" showErrorMessage="true" error="Integer expected with max size 100" sqref="P274">
      <formula1>43101</formula1>
      <formula2>54788</formula2>
    </dataValidation>
    <dataValidation type="decimal" operator="between" allowBlank="true" showInputMessage="true" showErrorMessage="true" error="Numeric range expected from 0,00 to 999,99" sqref="P275">
      <formula1>0</formula1>
      <formula2>999.99</formula2>
    </dataValidation>
    <dataValidation type="whole" operator="between" allowBlank="true" showInputMessage="true" showErrorMessage="true" error="Integer expected with max size 100" sqref="P279">
      <formula1>43101</formula1>
      <formula2>54788</formula2>
    </dataValidation>
    <dataValidation type="decimal" operator="between" allowBlank="true" showInputMessage="true" showErrorMessage="true" error="Numeric range expected from 0,00 to 999,99" sqref="P280">
      <formula1>0</formula1>
      <formula2>999.99</formula2>
    </dataValidation>
    <dataValidation type="date" operator="between" allowBlank="true" showInputMessage="true" showErrorMessage="true" error="Integer expected with max size 100" sqref="P281">
      <formula1>43101</formula1>
      <formula2>54788</formula2>
    </dataValidation>
    <dataValidation type="decimal" operator="between" allowBlank="true" showInputMessage="true" showErrorMessage="true" error="Numeric range expected from 0,00 to 999,99" sqref="P282">
      <formula1>0</formula1>
      <formula2>999.99</formula2>
    </dataValidation>
    <dataValidation type="textLength" errorStyle="stop" operator="between" allowBlank="true" showDropDown="false" showInputMessage="true" showErrorMessage="true" prompt="" sqref="Q2">
      <formula1>1</formula1>
      <formula2>10000</formula2>
    </dataValidation>
    <dataValidation type="list" operator="between" allowBlank="true" showInputMessage="true" showErrorMessage="true" sqref="Q6">
      <formula1>"Mobile,Tablet"</formula1>
    </dataValidation>
    <dataValidation type="textLength" operator="between" allowBlank="true" showInputMessage="true" showErrorMessage="true" errorTitle="Brand name" error="Alphanumeric size from 3 to 50 characters" sqref="Q7">
      <formula1>3</formula1>
      <formula2>50</formula2>
    </dataValidation>
    <dataValidation type="textLength" operator="between" allowBlank="true" showInputMessage="true" showErrorMessage="true" errorTitle="GCF Model name" error="Alphanumeric size 64 characters exceeded" sqref="Q8">
      <formula1>0</formula1>
      <formula2>64</formula2>
    </dataValidation>
    <dataValidation type="textLength" operator="between" allowBlank="true" showInputMessage="true" showErrorMessage="true" errorTitle="Comments" error="Alphanumeric size 2000 characters exceeded" sqref="Q9">
      <formula1>0</formula1>
      <formula2>2000</formula2>
    </dataValidation>
    <dataValidation type="date" operator="between" allowBlank="true" showErrorMessage="true" errorTitle="Marketing samples availability" error="Date expected" sqref="Q10">
      <formula1>43101</formula1>
      <formula2>54788</formula2>
    </dataValidation>
    <dataValidation type="date" operator="between" allowBlank="true" showErrorMessage="true" errorTitle="Technical samples availability" error="Date expected" sqref="Q11">
      <formula1>43101</formula1>
      <formula2>54788</formula2>
    </dataValidation>
    <dataValidation type="date" operator="between" allowBlank="true" showErrorMessage="true" errorTitle="Expected Generic Street Launch" error="Date expected" sqref="Q12">
      <formula1>43101</formula1>
      <formula2>54788</formula2>
    </dataValidation>
    <dataValidation type="date" operator="between" allowBlank="true" showErrorMessage="true" errorTitle="Expected availability warehouse" error="Date expected" sqref="Q13">
      <formula1>43101</formula1>
      <formula2>54788</formula2>
    </dataValidation>
    <dataValidation type="date" operator="between" allowBlank="true" showErrorMessage="true" errorTitle="GCF date" error="Date expected" sqref="Q14:Q15">
      <formula1>43101</formula1>
      <formula2>54788</formula2>
    </dataValidation>
    <dataValidation type="date" operator="between" allowBlank="true" showErrorMessage="true" errorTitle="Wi-Fi alliance date" error="Date expected" sqref="Q16">
      <formula1>43101</formula1>
      <formula2>54788</formula2>
    </dataValidation>
    <dataValidation type="list" operator="between" allowBlank="true" showInputMessage="true" showErrorMessage="true" sqref="Q17">
      <formula1>"Flagship,Everyday Superphone,Essential Smartphone,Voice,Not applicable"</formula1>
    </dataValidation>
    <dataValidation type="decimal" operator="between" allowBlank="true" showInputMessage="true" showErrorMessage="true" errorTitle="Repairability index" error="Numeric expected with max size 10,00" sqref="Q18">
      <formula1>0</formula1>
      <formula2>10</formula2>
    </dataValidation>
    <dataValidation type="textLength" operator="between" allowBlank="true" showInputMessage="true" showErrorMessage="true" errorTitle="Comments" error="Alphanumeric size 2000 characters exceeded" sqref="Q19">
      <formula1>0</formula1>
      <formula2>2000</formula2>
    </dataValidation>
    <dataValidation type="textLength" operator="between" allowBlank="true" showInputMessage="true" showErrorMessage="true" errorTitle="Commercial name" error="Alphanumeric size 120 characters exceeded" sqref="Q21">
      <formula1>0</formula1>
      <formula2>120</formula2>
    </dataValidation>
    <dataValidation type="textLength" operator="between" allowBlank="true" showInputMessage="true" showErrorMessage="true" errorTitle="Orange Variant name" error="Alphanumeric size 120 characters exceeded" sqref="Q22">
      <formula1>0</formula1>
      <formula2>240</formula2>
    </dataValidation>
    <dataValidation type="list" operator="between" allowBlank="true" showInputMessage="true" showErrorMessage="true" sqref="Q23">
      <formula1>"ODM - OBD, ODM - Not OBD"</formula1>
    </dataValidation>
    <dataValidation type="list" operator="between" allowBlank="true" showInputMessage="true" showErrorMessage="true" sqref="Q24">
      <formula1>"Flagship,Everyday Superphone,Essential Smartphone,Voice,Not applicable"</formula1>
    </dataValidation>
    <dataValidation type="list" operator="between" allowBlank="true" showInputMessage="true" showErrorMessage="true" sqref="Q25">
      <formula1>"Essential Smartphone High,Essential Smartphone Entry,Not applicable"</formula1>
    </dataValidation>
    <dataValidation type="list" operator="between" allowBlank="true" showInputMessage="true" showErrorMessage="true" sqref="Q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Q29">
      <formula1>0</formula1>
      <formula2>50</formula2>
    </dataValidation>
    <dataValidation type="textLength" operator="between" allowBlank="true" showInputMessage="true" showErrorMessage="true" errorTitle="Hardware Platform ref name" error="Alphanumeric size 50 characters exceeded" sqref="Q30">
      <formula1>0</formula1>
      <formula2>50</formula2>
    </dataValidation>
    <dataValidation type="list" operator="between" allowBlank="true" showInputMessage="true" showErrorMessage="true" sqref="Q31">
      <formula1>='Listes deroulantes'!$U$2:$U$28</formula1>
    </dataValidation>
    <dataValidation type="textLength" operator="between" allowBlank="true" showInputMessage="true" showErrorMessage="true" errorTitle="Baseband chipset name" error="Alphanumeric size 50 characters exceeded" sqref="Q32">
      <formula1>0</formula1>
      <formula2>50</formula2>
    </dataValidation>
    <dataValidation type="list" operator="between" allowBlank="true" showInputMessage="true" showErrorMessage="true" sqref="Q33">
      <formula1>"0,1,2,3,4,6,8,Others"</formula1>
    </dataValidation>
    <dataValidation type="list" operator="between" allowBlank="true" showInputMessage="true" showErrorMessage="true" sqref="Q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Q37">
      <formula1>0</formula1>
      <formula2>10</formula2>
    </dataValidation>
    <dataValidation type="textLength" operator="between" allowBlank="true" showInputMessage="true" showErrorMessage="true" errorTitle="Nb of OS Android patch upgrade" error="Integer size 2 characters exceeded" sqref="Q38">
      <formula1>0</formula1>
      <formula2>2</formula2>
    </dataValidation>
    <dataValidation type="textLength" operator="between" allowBlank="true" showInputMessage="true" showErrorMessage="true" errorTitle="OS Android patch upgrade (years)" error="Integer size 2 characters exceeded" sqref="Q39">
      <formula1>0</formula1>
      <formula2>2</formula2>
    </dataValidation>
    <dataValidation type="list" operator="between" allowBlank="true" showInputMessage="true" showErrorMessage="true" errorTitle="Frequency Android OS security" error="Value not allowed, select value from drop down menu" sqref="Q40">
      <formula1>"Monthly,Quarterly,Half-yearly,Yearly"</formula1>
    </dataValidation>
    <dataValidation type="list" operator="between" allowBlank="true" showInputMessage="true" showErrorMessage="true" sqref="Q42:Q48">
      <formula1>"Yes,No"</formula1>
    </dataValidation>
    <dataValidation type="list" operator="between" allowBlank="true" showInputMessage="true" showErrorMessage="true" sqref="Q49">
      <formula1>"FDD,TDD,FDD / TDD"</formula1>
    </dataValidation>
    <dataValidation type="list" operator="between" allowBlank="true" showInputMessage="true" showErrorMessage="true" sqref="Q50">
      <formula1>='Listes deroulantes'!$A$2:$A$32</formula1>
    </dataValidation>
    <dataValidation type="list" operator="between" allowBlank="true" showInputMessage="true" showErrorMessage="true" sqref="Q51">
      <formula1>='Listes deroulantes'!$E$2:$E$26</formula1>
    </dataValidation>
    <dataValidation type="list" operator="between" allowBlank="true" showInputMessage="true" showErrorMessage="true" sqref="Q52">
      <formula1>='Listes deroulantes'!$C$2:$C$23</formula1>
    </dataValidation>
    <dataValidation type="list" operator="between" allowBlank="true" showInputMessage="true" showErrorMessage="true" sqref="Q53:Q56">
      <formula1>"Yes,No"</formula1>
    </dataValidation>
    <dataValidation type="list" operator="between" allowBlank="true" showInputMessage="true" showErrorMessage="true" sqref="Q57">
      <formula1>"No,2x2,4x4,4x2"</formula1>
    </dataValidation>
    <dataValidation type="list" operator="between" allowBlank="true" showInputMessage="true" showErrorMessage="true" sqref="Q58">
      <formula1>"No,2x2"</formula1>
    </dataValidation>
    <dataValidation type="list" operator="between" allowBlank="true" showInputMessage="true" showErrorMessage="true" sqref="Q59">
      <formula1>"No,2,3,4,5,6,7,8"</formula1>
    </dataValidation>
    <dataValidation type="list" operator="between" allowBlank="true" showInputMessage="true" showErrorMessage="true" sqref="Q60">
      <formula1>='Listes deroulantes'!$G$2:$G$5</formula1>
    </dataValidation>
    <dataValidation type="list" operator="between" allowBlank="true" showInputMessage="true" showErrorMessage="true" sqref="Q61">
      <formula1>='Listes deroulantes'!$I$2:$I$3</formula1>
    </dataValidation>
    <dataValidation type="list" operator="between" allowBlank="true" showInputMessage="true" showErrorMessage="true" sqref="Q62">
      <formula1>='Listes deroulantes'!$K$2:$K$4</formula1>
    </dataValidation>
    <dataValidation type="list" operator="between" allowBlank="true" showInputMessage="true" showErrorMessage="true" sqref="Q64:Q97">
      <formula1>"Yes,No"</formula1>
    </dataValidation>
    <dataValidation type="list" operator="between" allowBlank="true" showInputMessage="true" showErrorMessage="true" sqref="Q98:Q99">
      <formula1>='Listes deroulantes'!$I$2:$I$3</formula1>
    </dataValidation>
    <dataValidation type="list" operator="between" allowBlank="true" showInputMessage="true" showErrorMessage="true" sqref="Q100">
      <formula1>='Listes deroulantes'!$M$2:$M$18</formula1>
    </dataValidation>
    <dataValidation type="list" operator="between" allowBlank="true" showInputMessage="true" showErrorMessage="true" sqref="Q101">
      <formula1>='Listes deroulantes'!$O$2:$O$4</formula1>
    </dataValidation>
    <dataValidation type="decimal" operator="between" allowBlank="true" showInputMessage="true" showErrorMessage="true" errorTitle="Weight (g)" error="numeric format expected - for instance 999,99 maximum - or length characters exceeded" sqref="Q103:Q106">
      <formula1>0</formula1>
      <formula2>999.99</formula2>
    </dataValidation>
    <dataValidation type="list" operator="between" allowBlank="true" showInputMessage="true" showErrorMessage="true" sqref="Q107">
      <formula1>"Bar,Messenger bar,Clamshell,Slide,Touch,Messenger/sliding touch,Other"</formula1>
    </dataValidation>
    <dataValidation type="list" operator="between" allowBlank="true" showInputMessage="true" showErrorMessage="true" sqref="Q108:Q109">
      <formula1>"Yes,No"</formula1>
    </dataValidation>
    <dataValidation type="list" operator="between" allowBlank="true" showInputMessage="true" showErrorMessage="true" sqref="Q110">
      <formula1>"Hard AZERTY/QWERTY,Touch AZERTY/QWERTY,Hard 20 keys,Numeric keypad only	"</formula1>
    </dataValidation>
    <dataValidation type="list" operator="between" allowBlank="true" showInputMessage="true" showErrorMessage="true" sqref="Q111">
      <formula1>"Yes,No"</formula1>
    </dataValidation>
    <dataValidation type="list" operator="between" allowBlank="true" showInputMessage="true" showErrorMessage="true" sqref="Q112">
      <formula1>"2m,1.8m,1.5m,1.2m,1.0m,&lt;1.0m"</formula1>
    </dataValidation>
    <dataValidation type="list" operator="between" allowBlank="true" showInputMessage="true" showErrorMessage="true" sqref="Q113">
      <formula1>"IP52,IP54,IP57,IP58,IP64,IP67,IP68,Not known,Other"</formula1>
    </dataValidation>
    <dataValidation type="list" operator="between" allowBlank="true" showInputMessage="true" showErrorMessage="true" sqref="Q114:Q115">
      <formula1>"Yes,No"</formula1>
    </dataValidation>
    <dataValidation type="decimal" operator="between" allowBlank="true" showInputMessage="true" showErrorMessage="true" errorTitle="Screen size (in inches) diagonal" error="numeric format expected - for instance 99,99 - or length characters exceeded" sqref="Q117">
      <formula1>0</formula1>
      <formula2>99.99</formula2>
    </dataValidation>
    <dataValidation type="whole" operator="between" allowBlank="true" showInputMessage="true" showErrorMessage="true" errorTitle="Width (px)" error="Integer size 4 expected or lenght characters exceeded" sqref="Q118">
      <formula1>0</formula1>
      <formula2>9999</formula2>
    </dataValidation>
    <dataValidation type="whole" operator="between" allowBlank="true" showInputMessage="true" showErrorMessage="true" errorTitle="Height (px)" error="Integer size 4 expected or lenght characters exceeded" sqref="Q119">
      <formula1>0</formula1>
      <formula2>9999</formula2>
    </dataValidation>
    <dataValidation type="list" operator="between" allowBlank="true" showInputMessage="true" showErrorMessage="true" sqref="Q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Q121">
      <formula1>0</formula1>
      <formula2>9999</formula2>
    </dataValidation>
    <dataValidation type="textLength" operator="between" allowBlank="true" showInputMessage="true" showErrorMessage="true" errorTitle="Contrast ratio" error="Expected length 0&lt;= value length &lt;51" sqref="Q122">
      <formula1>0</formula1>
      <formula2>50</formula2>
    </dataValidation>
    <dataValidation type="textLength" operator="between" allowBlank="true" showInputMessage="true" showErrorMessage="true" errorTitle="Brightness (cd/m2)" error="Expected length 0&lt;= value length &lt;51" sqref="Q123">
      <formula1>0</formula1>
      <formula2>50</formula2>
    </dataValidation>
    <dataValidation type="list" operator="between" allowBlank="true" showInputMessage="true" showErrorMessage="true" sqref="Q124:Q126">
      <formula1>"Yes,No"</formula1>
    </dataValidation>
    <dataValidation type="list" operator="between" allowBlank="true" showInputMessage="true" showErrorMessage="true" sqref="Q128">
      <formula1>"Yes,No"</formula1>
    </dataValidation>
    <dataValidation type="list" operator="between" allowBlank="true" showInputMessage="true" showErrorMessage="true" sqref="Q129">
      <formula1>"No,2,3,4,5,More"</formula1>
    </dataValidation>
    <dataValidation type="list" operator="between" allowBlank="true" showInputMessage="true" showErrorMessage="true" sqref="Q130">
      <formula1>"No,2FF,3FF (MicroSIM),4FF (nano SIM),e-SIM,e-SIM or 4FF (nano SIM)"</formula1>
    </dataValidation>
    <dataValidation type="list" operator="between" allowBlank="true" showInputMessage="true" showErrorMessage="true" sqref="Q132">
      <formula1>='Listes deroulantes'!$U$2:$U$28</formula1>
    </dataValidation>
    <dataValidation type="textLength" operator="between" allowBlank="true" showInputMessage="true" showErrorMessage="true" errorTitle="Wi-FI chipset name" error="Alphanumeric size 50 characters exceeded" sqref="Q133">
      <formula1>0</formula1>
      <formula2>50</formula2>
    </dataValidation>
    <dataValidation type="list" operator="between" allowBlank="true" showInputMessage="true" showErrorMessage="true" sqref="Q134:Q148">
      <formula1>"Yes,No"</formula1>
    </dataValidation>
    <dataValidation type="list" operator="between" allowBlank="true" showInputMessage="true" showErrorMessage="true" sqref="Q149">
      <formula1>"2x2,4x4,6x6,8x8"</formula1>
    </dataValidation>
    <dataValidation type="list" operator="between" allowBlank="true" showInputMessage="true" showErrorMessage="true" sqref="Q150">
      <formula1>='Listes deroulantes'!$V$2:$V$16</formula1>
    </dataValidation>
    <dataValidation type="textLength" operator="between" allowBlank="true" showInputMessage="true" showErrorMessage="true" errorTitle="Bluetooth Profile" error="Alphanumeric size 100 characters exceeded" sqref="Q151">
      <formula1>0</formula1>
      <formula2>100</formula2>
    </dataValidation>
    <dataValidation type="list" operator="between" allowBlank="true" showInputMessage="true" showErrorMessage="true" sqref="Q152:Q154">
      <formula1>"Yes,No"</formula1>
    </dataValidation>
    <dataValidation type="list" operator="between" allowBlank="true" showInputMessage="true" showErrorMessage="true" sqref="Q158">
      <formula1>"No,A-GPS,GPS Standalone,GNSS"</formula1>
    </dataValidation>
    <dataValidation type="list" operator="between" allowBlank="true" showInputMessage="true" showErrorMessage="true" sqref="Q159">
      <formula1>='Listes deroulantes'!$Q$2:$Q$10</formula1>
    </dataValidation>
    <dataValidation type="list" operator="between" allowBlank="true" showInputMessage="true" showErrorMessage="true" sqref="Q160">
      <formula1>='Listes deroulantes'!$W$2:$W$9</formula1>
    </dataValidation>
    <dataValidation type="list" operator="between" allowBlank="true" showInputMessage="true" showErrorMessage="true" sqref="Q161:Q166">
      <formula1>"Yes,No"</formula1>
    </dataValidation>
    <dataValidation type="list" operator="between" allowBlank="true" showInputMessage="true" showErrorMessage="true" sqref="Q168:Q172">
      <formula1>"Yes,No"</formula1>
    </dataValidation>
    <dataValidation type="whole" operator="between" allowBlank="true" showInputMessage="true" showErrorMessage="true" errorTitle="Battery capacity (mAh)" error="Integer size 5 expected or lenght characters exceeded" sqref="Q176">
      <formula1>0</formula1>
      <formula2>99999</formula2>
    </dataValidation>
    <dataValidation type="list" operator="between" allowBlank="true" showInputMessage="true" showErrorMessage="true" sqref="Q177">
      <formula1>"Li-Ion,Li-Poly,Li-Ion-Poly,Li-Technology,NiMH"</formula1>
    </dataValidation>
    <dataValidation type="list" operator="between" allowBlank="true" showInputMessage="true" showErrorMessage="true" sqref="Q178">
      <formula1>"Yes,No"</formula1>
    </dataValidation>
    <dataValidation type="list" operator="between" allowBlank="true" showInputMessage="true" showErrorMessage="true" sqref="Q179">
      <formula1>"No,Qi,Other"</formula1>
    </dataValidation>
    <dataValidation type="list" operator="between" allowBlank="true" showInputMessage="true" showErrorMessage="true" sqref="Q180">
      <formula1>"No,Pump Express,Quick Charge 2.0,Other"</formula1>
    </dataValidation>
    <dataValidation type="list" operator="between" allowBlank="true" showInputMessage="true" showErrorMessage="true" sqref="Q182">
      <formula1>"2TB,1TB,512GB,256GB,128GB,64GB,32GB,16GB,8GB,4GB,2GB,1GB,512MB,256MB,128MB"</formula1>
    </dataValidation>
    <dataValidation type="list" operator="between" allowBlank="true" showInputMessage="true" showErrorMessage="true" sqref="Q183:Q186">
      <formula1>"Yes,No"</formula1>
    </dataValidation>
    <dataValidation type="list" operator="between" allowBlank="true" showErrorMessage="true" sqref="Q187">
      <formula1>='Listes deroulantes'!$S$2:$S$28</formula1>
    </dataValidation>
    <dataValidation type="list" operator="between" allowBlank="true" showInputMessage="true" showErrorMessage="true" sqref="Q189:Q198">
      <formula1>"Yes,No"</formula1>
    </dataValidation>
    <dataValidation type="list" operator="between" allowBlank="true" showInputMessage="true" showErrorMessage="true" sqref="Q200:Q202">
      <formula1>"Yes,No"</formula1>
    </dataValidation>
    <dataValidation type="list" operator="between" allowBlank="true" showInputMessage="true" showErrorMessage="true" sqref="Q203">
      <formula1>"No,Picture Basic,Picture Rich,Video Basic,Video Rich,Megapixel,"</formula1>
    </dataValidation>
    <dataValidation type="list" operator="between" allowBlank="true" showInputMessage="true" showErrorMessage="true" sqref="Q204">
      <formula1>"600 kB,300 kB,100 kB,30 kB"</formula1>
    </dataValidation>
    <dataValidation type="list" operator="between" allowBlank="true" showInputMessage="true" showErrorMessage="true" sqref="Q205">
      <formula1>"No,Android Messages,OEM native messenger"</formula1>
    </dataValidation>
    <dataValidation type="list" operator="between" allowBlank="true" showInputMessage="true" showErrorMessage="true" sqref="Q207">
      <formula1>"No,Integrated,Integrated AND Autofocus"</formula1>
    </dataValidation>
    <dataValidation type="list" operator="between" allowBlank="true" showInputMessage="true" showErrorMessage="true" sqref="Q208">
      <formula1>"1,2,3,4,5"</formula1>
    </dataValidation>
    <dataValidation type="decimal" operator="between" allowBlank="true" showInputMessage="true" showErrorMessage="true" errorTitle="Main Camera1 resolution (Mpx)" error="numeric format expected - for instance 999,99 - or length characters exceeded" sqref="Q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Q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Q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Q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Q213">
      <formula1>0</formula1>
      <formula2>999.99</formula2>
    </dataValidation>
    <dataValidation type="list" operator="between" allowBlank="true" showInputMessage="true" showErrorMessage="true" sqref="Q214:Q215">
      <formula1>"Yes,No"</formula1>
    </dataValidation>
    <dataValidation type="textLength" operator="between" allowBlank="true" showInputMessage="true" showErrorMessage="true" errorTitle="Main Camera comments" error="Alphanumeric size 500 characters exceeded" sqref="Q216">
      <formula1>0</formula1>
      <formula2>500</formula2>
    </dataValidation>
    <dataValidation type="textLength" operator="between" allowBlank="true" showInputMessage="true" showErrorMessage="true" errorTitle="Main Camera Features" error="Alphanumeric size 500 characters exceeded" sqref="Q217">
      <formula1>0</formula1>
      <formula2>500</formula2>
    </dataValidation>
    <dataValidation type="textLength" operator="between" allowBlank="true" showInputMessage="true" showErrorMessage="true" errorTitle="Main Camera video" error="Alphanumeric size 500 characters exceeded" sqref="Q218">
      <formula1>0</formula1>
      <formula2>500</formula2>
    </dataValidation>
    <dataValidation type="list" operator="between" allowBlank="true" showInputMessage="true" showErrorMessage="true" sqref="Q219">
      <formula1>"f/0.30,f/0.60,f/0.70,f/0.75,f/0.80,f/0.85,f/0.90,f/0.95,f/1.0,f/1.1,f/1.2,f/1.3,f/1.4,f/1.5,f/1.6,f/1.7,f/1.8,f/1.9,f/2.0,f/2.1,f/2.2,f/2.3,f/2.4,f/2.5,f/2.8,f/2.9,f/3.0"</formula1>
    </dataValidation>
    <dataValidation type="list" operator="between" allowBlank="true" showInputMessage="true" showErrorMessage="true" sqref="Q220">
      <formula1>"Yes,No"</formula1>
    </dataValidation>
    <dataValidation type="list" operator="between" allowBlank="true" showInputMessage="true" showErrorMessage="true" sqref="Q221">
      <formula1>"No,LED,2 LED,Xenon,Other"</formula1>
    </dataValidation>
    <dataValidation type="list" operator="between" allowBlank="true" showInputMessage="true" showErrorMessage="true" sqref="Q223">
      <formula1>"No,Integrated,Integrated AND Autofocus"</formula1>
    </dataValidation>
    <dataValidation type="list" operator="between" allowBlank="true" showInputMessage="true" showErrorMessage="true" sqref="Q224">
      <formula1>"1,2"</formula1>
    </dataValidation>
    <dataValidation type="decimal" operator="between" allowBlank="true" showInputMessage="true" showErrorMessage="true" errorTitle="Selfie Camera1 resolution (Mpx)" error="numeric format expected - for instance 999,99 - or length characters exceeded" sqref="Q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Q226">
      <formula1>0</formula1>
      <formula2>999.99</formula2>
    </dataValidation>
    <dataValidation type="list" operator="between" allowBlank="true" showInputMessage="true" showErrorMessage="true" sqref="Q227:Q228">
      <formula1>"Yes,No"</formula1>
    </dataValidation>
    <dataValidation type="textLength" operator="between" allowBlank="true" showInputMessage="true" showErrorMessage="true" errorTitle="Selfie Camera comments" error="Alphanumeric size 500 characters exceeded" sqref="Q229">
      <formula1>0</formula1>
      <formula2>500</formula2>
    </dataValidation>
    <dataValidation type="textLength" operator="between" allowBlank="true" showInputMessage="true" showErrorMessage="true" errorTitle="Selfie Camera Features" error="Alphanumeric size 500 characters exceeded" sqref="Q230">
      <formula1>0</formula1>
      <formula2>500</formula2>
    </dataValidation>
    <dataValidation type="textLength" operator="between" allowBlank="true" showInputMessage="true" showErrorMessage="true" errorTitle="Selfie Camera video" error="Alphanumeric size 500 characters exceeded" sqref="Q231">
      <formula1>0</formula1>
      <formula2>500</formula2>
    </dataValidation>
    <dataValidation type="list" operator="between" allowBlank="true" showInputMessage="true" showErrorMessage="true" sqref="Q233:Q239">
      <formula1>"Yes,No"</formula1>
    </dataValidation>
    <dataValidation type="list" operator="between" allowBlank="true" showInputMessage="true" showErrorMessage="true" sqref="Q241">
      <formula1>"Yes,No"</formula1>
    </dataValidation>
    <dataValidation type="list" operator="between" allowBlank="true" showInputMessage="true" showErrorMessage="true" sqref="Q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Q244">
      <formula1>0</formula1>
      <formula2>9.99</formula2>
    </dataValidation>
    <dataValidation type="decimal" operator="between" allowBlank="true" showInputMessage="true" showErrorMessage="true" errorTitle="SAR head (Watt/kg)" error="numeric format expected - for instance 9,999 - or length characters exceeded" sqref="Q245:Q246">
      <formula1>0</formula1>
      <formula2>9.99</formula2>
    </dataValidation>
    <dataValidation type="decimal" operator="between" allowBlank="true" showInputMessage="true" showErrorMessage="true" errorTitle="Production value (kg CO2eq) " error="Numeric expected with max size 99,99" sqref="Q249">
      <formula1>0</formula1>
      <formula2>99.99</formula2>
    </dataValidation>
    <dataValidation type="decimal" operator="between" allowBlank="true" showInputMessage="true" showErrorMessage="true" errorTitle="Transportation value (kg CO2eq)" error="Numeric expected with max size 99,99" sqref="Q250">
      <formula1>0</formula1>
      <formula2>99.99</formula2>
    </dataValidation>
    <dataValidation type="list" operator="between" allowBlank="true" showInputMessage="true" showErrorMessage="true" error="Integer expected with max size 100" sqref="Q252">
      <formula1>"R02,R03,R04,R05"</formula1>
    </dataValidation>
    <dataValidation type="decimal" operator="between" allowBlank="true" showInputMessage="true" showErrorMessage="true" errorTitle="Production value (kg CO2eq) " error="Numeric expected with max size 99,99" sqref="Q253">
      <formula1>0</formula1>
      <formula2>99.99</formula2>
    </dataValidation>
    <dataValidation type="decimal" operator="between" allowBlank="true" showInputMessage="true" showErrorMessage="true" errorTitle="Adjustment for memory variant" error="-101&lt;Value expected&lt;101" sqref="Q254">
      <formula1>-100.99</formula1>
      <formula2>100.99</formula2>
    </dataValidation>
    <dataValidation type="decimal" operator="between" allowBlank="true" showInputMessage="true" showErrorMessage="true" errorTitle="Transportation value (kg CO2eq)" error="Numeric expected with max size 99,99" sqref="Q255">
      <formula1>0</formula1>
      <formula2>99.99</formula2>
    </dataValidation>
    <dataValidation type="decimal" operator="between" allowBlank="true" showInputMessage="true" showErrorMessage="true" errorTitle="Production value (kg CO2eq) " error="Numeric expected with max size 99,99" sqref="Q257">
      <formula1>0</formula1>
      <formula2>99.99</formula2>
    </dataValidation>
    <dataValidation type="decimal" operator="between" allowBlank="true" showInputMessage="true" showErrorMessage="true" errorTitle="Adjustment for memory variant" error="-101&lt;Value expected&lt;101" sqref="Q258">
      <formula1>-100.99</formula1>
      <formula2>100.99</formula2>
    </dataValidation>
    <dataValidation type="decimal" operator="between" allowBlank="true" showInputMessage="true" showErrorMessage="true" errorTitle="Transportation value (kg CO2eq)" error="Numeric expected with max size 99,99" sqref="Q259">
      <formula1>0</formula1>
      <formula2>99.99</formula2>
    </dataValidation>
    <dataValidation type="list" operator="between" allowBlank="true" showInputMessage="true" showErrorMessage="true" sqref="Q260">
      <formula1>"World,EU,MEA"</formula1>
    </dataValidation>
    <dataValidation type="whole" operator="between" allowBlank="true" showInputMessage="true" showErrorMessage="true" error="Integer expected with max size 100" sqref="Q265">
      <formula1>43101</formula1>
      <formula2>54788</formula2>
    </dataValidation>
    <dataValidation type="decimal" operator="between" allowBlank="true" showInputMessage="true" showErrorMessage="true" error="Numeric range expected from 0,00 to 999,99" sqref="Q266">
      <formula1>0</formula1>
      <formula2>999.99</formula2>
    </dataValidation>
    <dataValidation type="date" operator="between" allowBlank="true" showInputMessage="true" showErrorMessage="true" error="Integer expected with max size 100" sqref="Q267">
      <formula1>43101</formula1>
      <formula2>54788</formula2>
    </dataValidation>
    <dataValidation type="decimal" operator="between" allowBlank="true" showInputMessage="true" showErrorMessage="true" error="Numeric range expected from 0,00 to 999,99" sqref="Q268">
      <formula1>0</formula1>
      <formula2>999.99</formula2>
    </dataValidation>
    <dataValidation type="whole" operator="between" allowBlank="true" showInputMessage="true" showErrorMessage="true" error="Integer expected with max size 100" sqref="Q272">
      <formula1>43101</formula1>
      <formula2>54788</formula2>
    </dataValidation>
    <dataValidation type="decimal" operator="between" allowBlank="true" showInputMessage="true" showErrorMessage="true" error="Numeric range expected from 0,00 to 999,99" sqref="Q273">
      <formula1>0</formula1>
      <formula2>999.99</formula2>
    </dataValidation>
    <dataValidation type="date" operator="between" allowBlank="true" showInputMessage="true" showErrorMessage="true" error="Integer expected with max size 100" sqref="Q274">
      <formula1>43101</formula1>
      <formula2>54788</formula2>
    </dataValidation>
    <dataValidation type="decimal" operator="between" allowBlank="true" showInputMessage="true" showErrorMessage="true" error="Numeric range expected from 0,00 to 999,99" sqref="Q275">
      <formula1>0</formula1>
      <formula2>999.99</formula2>
    </dataValidation>
    <dataValidation type="whole" operator="between" allowBlank="true" showInputMessage="true" showErrorMessage="true" error="Integer expected with max size 100" sqref="Q279">
      <formula1>43101</formula1>
      <formula2>54788</formula2>
    </dataValidation>
    <dataValidation type="decimal" operator="between" allowBlank="true" showInputMessage="true" showErrorMessage="true" error="Numeric range expected from 0,00 to 999,99" sqref="Q280">
      <formula1>0</formula1>
      <formula2>999.99</formula2>
    </dataValidation>
    <dataValidation type="date" operator="between" allowBlank="true" showInputMessage="true" showErrorMessage="true" error="Integer expected with max size 100" sqref="Q281">
      <formula1>43101</formula1>
      <formula2>54788</formula2>
    </dataValidation>
    <dataValidation type="decimal" operator="between" allowBlank="true" showInputMessage="true" showErrorMessage="true" error="Numeric range expected from 0,00 to 999,99" sqref="Q282">
      <formula1>0</formula1>
      <formula2>999.99</formula2>
    </dataValidation>
    <dataValidation type="textLength" errorStyle="stop" operator="between" allowBlank="true" showDropDown="false" showInputMessage="true" showErrorMessage="true" prompt="" sqref="R2">
      <formula1>1</formula1>
      <formula2>10000</formula2>
    </dataValidation>
    <dataValidation type="list" operator="between" allowBlank="true" showInputMessage="true" showErrorMessage="true" sqref="R6">
      <formula1>"Mobile,Tablet"</formula1>
    </dataValidation>
    <dataValidation type="textLength" operator="between" allowBlank="true" showInputMessage="true" showErrorMessage="true" errorTitle="Brand name" error="Alphanumeric size from 3 to 50 characters" sqref="R7">
      <formula1>3</formula1>
      <formula2>50</formula2>
    </dataValidation>
    <dataValidation type="textLength" operator="between" allowBlank="true" showInputMessage="true" showErrorMessage="true" errorTitle="GCF Model name" error="Alphanumeric size 64 characters exceeded" sqref="R8">
      <formula1>0</formula1>
      <formula2>64</formula2>
    </dataValidation>
    <dataValidation type="textLength" operator="between" allowBlank="true" showInputMessage="true" showErrorMessage="true" errorTitle="Comments" error="Alphanumeric size 2000 characters exceeded" sqref="R9">
      <formula1>0</formula1>
      <formula2>2000</formula2>
    </dataValidation>
    <dataValidation type="date" operator="between" allowBlank="true" showErrorMessage="true" errorTitle="Marketing samples availability" error="Date expected" sqref="R10">
      <formula1>43101</formula1>
      <formula2>54788</formula2>
    </dataValidation>
    <dataValidation type="date" operator="between" allowBlank="true" showErrorMessage="true" errorTitle="Technical samples availability" error="Date expected" sqref="R11">
      <formula1>43101</formula1>
      <formula2>54788</formula2>
    </dataValidation>
    <dataValidation type="date" operator="between" allowBlank="true" showErrorMessage="true" errorTitle="Expected Generic Street Launch" error="Date expected" sqref="R12">
      <formula1>43101</formula1>
      <formula2>54788</formula2>
    </dataValidation>
    <dataValidation type="date" operator="between" allowBlank="true" showErrorMessage="true" errorTitle="Expected availability warehouse" error="Date expected" sqref="R13">
      <formula1>43101</formula1>
      <formula2>54788</formula2>
    </dataValidation>
    <dataValidation type="date" operator="between" allowBlank="true" showErrorMessage="true" errorTitle="GCF date" error="Date expected" sqref="R14:R15">
      <formula1>43101</formula1>
      <formula2>54788</formula2>
    </dataValidation>
    <dataValidation type="date" operator="between" allowBlank="true" showErrorMessage="true" errorTitle="Wi-Fi alliance date" error="Date expected" sqref="R16">
      <formula1>43101</formula1>
      <formula2>54788</formula2>
    </dataValidation>
    <dataValidation type="list" operator="between" allowBlank="true" showInputMessage="true" showErrorMessage="true" sqref="R17">
      <formula1>"Flagship,Everyday Superphone,Essential Smartphone,Voice,Not applicable"</formula1>
    </dataValidation>
    <dataValidation type="decimal" operator="between" allowBlank="true" showInputMessage="true" showErrorMessage="true" errorTitle="Repairability index" error="Numeric expected with max size 10,00" sqref="R18">
      <formula1>0</formula1>
      <formula2>10</formula2>
    </dataValidation>
    <dataValidation type="textLength" operator="between" allowBlank="true" showInputMessage="true" showErrorMessage="true" errorTitle="Comments" error="Alphanumeric size 2000 characters exceeded" sqref="R19">
      <formula1>0</formula1>
      <formula2>2000</formula2>
    </dataValidation>
    <dataValidation type="textLength" operator="between" allowBlank="true" showInputMessage="true" showErrorMessage="true" errorTitle="Commercial name" error="Alphanumeric size 120 characters exceeded" sqref="R21">
      <formula1>0</formula1>
      <formula2>120</formula2>
    </dataValidation>
    <dataValidation type="textLength" operator="between" allowBlank="true" showInputMessage="true" showErrorMessage="true" errorTitle="Orange Variant name" error="Alphanumeric size 120 characters exceeded" sqref="R22">
      <formula1>0</formula1>
      <formula2>240</formula2>
    </dataValidation>
    <dataValidation type="list" operator="between" allowBlank="true" showInputMessage="true" showErrorMessage="true" sqref="R23">
      <formula1>"ODM - OBD, ODM - Not OBD"</formula1>
    </dataValidation>
    <dataValidation type="list" operator="between" allowBlank="true" showInputMessage="true" showErrorMessage="true" sqref="R24">
      <formula1>"Flagship,Everyday Superphone,Essential Smartphone,Voice,Not applicable"</formula1>
    </dataValidation>
    <dataValidation type="list" operator="between" allowBlank="true" showInputMessage="true" showErrorMessage="true" sqref="R25">
      <formula1>"Essential Smartphone High,Essential Smartphone Entry,Not applicable"</formula1>
    </dataValidation>
    <dataValidation type="list" operator="between" allowBlank="true" showInputMessage="true" showErrorMessage="true" sqref="R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R29">
      <formula1>0</formula1>
      <formula2>50</formula2>
    </dataValidation>
    <dataValidation type="textLength" operator="between" allowBlank="true" showInputMessage="true" showErrorMessage="true" errorTitle="Hardware Platform ref name" error="Alphanumeric size 50 characters exceeded" sqref="R30">
      <formula1>0</formula1>
      <formula2>50</formula2>
    </dataValidation>
    <dataValidation type="list" operator="between" allowBlank="true" showInputMessage="true" showErrorMessage="true" sqref="R31">
      <formula1>='Listes deroulantes'!$U$2:$U$28</formula1>
    </dataValidation>
    <dataValidation type="textLength" operator="between" allowBlank="true" showInputMessage="true" showErrorMessage="true" errorTitle="Baseband chipset name" error="Alphanumeric size 50 characters exceeded" sqref="R32">
      <formula1>0</formula1>
      <formula2>50</formula2>
    </dataValidation>
    <dataValidation type="list" operator="between" allowBlank="true" showInputMessage="true" showErrorMessage="true" sqref="R33">
      <formula1>"0,1,2,3,4,6,8,Others"</formula1>
    </dataValidation>
    <dataValidation type="list" operator="between" allowBlank="true" showInputMessage="true" showErrorMessage="true" sqref="R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R37">
      <formula1>0</formula1>
      <formula2>10</formula2>
    </dataValidation>
    <dataValidation type="textLength" operator="between" allowBlank="true" showInputMessage="true" showErrorMessage="true" errorTitle="Nb of OS Android patch upgrade" error="Integer size 2 characters exceeded" sqref="R38">
      <formula1>0</formula1>
      <formula2>2</formula2>
    </dataValidation>
    <dataValidation type="textLength" operator="between" allowBlank="true" showInputMessage="true" showErrorMessage="true" errorTitle="OS Android patch upgrade (years)" error="Integer size 2 characters exceeded" sqref="R39">
      <formula1>0</formula1>
      <formula2>2</formula2>
    </dataValidation>
    <dataValidation type="list" operator="between" allowBlank="true" showInputMessage="true" showErrorMessage="true" errorTitle="Frequency Android OS security" error="Value not allowed, select value from drop down menu" sqref="R40">
      <formula1>"Monthly,Quarterly,Half-yearly,Yearly"</formula1>
    </dataValidation>
    <dataValidation type="list" operator="between" allowBlank="true" showInputMessage="true" showErrorMessage="true" sqref="R42:R48">
      <formula1>"Yes,No"</formula1>
    </dataValidation>
    <dataValidation type="list" operator="between" allowBlank="true" showInputMessage="true" showErrorMessage="true" sqref="R49">
      <formula1>"FDD,TDD,FDD / TDD"</formula1>
    </dataValidation>
    <dataValidation type="list" operator="between" allowBlank="true" showInputMessage="true" showErrorMessage="true" sqref="R50">
      <formula1>='Listes deroulantes'!$A$2:$A$32</formula1>
    </dataValidation>
    <dataValidation type="list" operator="between" allowBlank="true" showInputMessage="true" showErrorMessage="true" sqref="R51">
      <formula1>='Listes deroulantes'!$E$2:$E$26</formula1>
    </dataValidation>
    <dataValidation type="list" operator="between" allowBlank="true" showInputMessage="true" showErrorMessage="true" sqref="R52">
      <formula1>='Listes deroulantes'!$C$2:$C$23</formula1>
    </dataValidation>
    <dataValidation type="list" operator="between" allowBlank="true" showInputMessage="true" showErrorMessage="true" sqref="R53:R56">
      <formula1>"Yes,No"</formula1>
    </dataValidation>
    <dataValidation type="list" operator="between" allowBlank="true" showInputMessage="true" showErrorMessage="true" sqref="R57">
      <formula1>"No,2x2,4x4,4x2"</formula1>
    </dataValidation>
    <dataValidation type="list" operator="between" allowBlank="true" showInputMessage="true" showErrorMessage="true" sqref="R58">
      <formula1>"No,2x2"</formula1>
    </dataValidation>
    <dataValidation type="list" operator="between" allowBlank="true" showInputMessage="true" showErrorMessage="true" sqref="R59">
      <formula1>"No,2,3,4,5,6,7,8"</formula1>
    </dataValidation>
    <dataValidation type="list" operator="between" allowBlank="true" showInputMessage="true" showErrorMessage="true" sqref="R60">
      <formula1>='Listes deroulantes'!$G$2:$G$5</formula1>
    </dataValidation>
    <dataValidation type="list" operator="between" allowBlank="true" showInputMessage="true" showErrorMessage="true" sqref="R61">
      <formula1>='Listes deroulantes'!$I$2:$I$3</formula1>
    </dataValidation>
    <dataValidation type="list" operator="between" allowBlank="true" showInputMessage="true" showErrorMessage="true" sqref="R62">
      <formula1>='Listes deroulantes'!$K$2:$K$4</formula1>
    </dataValidation>
    <dataValidation type="list" operator="between" allowBlank="true" showInputMessage="true" showErrorMessage="true" sqref="R64:R97">
      <formula1>"Yes,No"</formula1>
    </dataValidation>
    <dataValidation type="list" operator="between" allowBlank="true" showInputMessage="true" showErrorMessage="true" sqref="R98:R99">
      <formula1>='Listes deroulantes'!$I$2:$I$3</formula1>
    </dataValidation>
    <dataValidation type="list" operator="between" allowBlank="true" showInputMessage="true" showErrorMessage="true" sqref="R100">
      <formula1>='Listes deroulantes'!$M$2:$M$18</formula1>
    </dataValidation>
    <dataValidation type="list" operator="between" allowBlank="true" showInputMessage="true" showErrorMessage="true" sqref="R101">
      <formula1>='Listes deroulantes'!$O$2:$O$4</formula1>
    </dataValidation>
    <dataValidation type="decimal" operator="between" allowBlank="true" showInputMessage="true" showErrorMessage="true" errorTitle="Weight (g)" error="numeric format expected - for instance 999,99 maximum - or length characters exceeded" sqref="R103:R106">
      <formula1>0</formula1>
      <formula2>999.99</formula2>
    </dataValidation>
    <dataValidation type="list" operator="between" allowBlank="true" showInputMessage="true" showErrorMessage="true" sqref="R107">
      <formula1>"Bar,Messenger bar,Clamshell,Slide,Touch,Messenger/sliding touch,Other"</formula1>
    </dataValidation>
    <dataValidation type="list" operator="between" allowBlank="true" showInputMessage="true" showErrorMessage="true" sqref="R108:R109">
      <formula1>"Yes,No"</formula1>
    </dataValidation>
    <dataValidation type="list" operator="between" allowBlank="true" showInputMessage="true" showErrorMessage="true" sqref="R110">
      <formula1>"Hard AZERTY/QWERTY,Touch AZERTY/QWERTY,Hard 20 keys,Numeric keypad only	"</formula1>
    </dataValidation>
    <dataValidation type="list" operator="between" allowBlank="true" showInputMessage="true" showErrorMessage="true" sqref="R111">
      <formula1>"Yes,No"</formula1>
    </dataValidation>
    <dataValidation type="list" operator="between" allowBlank="true" showInputMessage="true" showErrorMessage="true" sqref="R112">
      <formula1>"2m,1.8m,1.5m,1.2m,1.0m,&lt;1.0m"</formula1>
    </dataValidation>
    <dataValidation type="list" operator="between" allowBlank="true" showInputMessage="true" showErrorMessage="true" sqref="R113">
      <formula1>"IP52,IP54,IP57,IP58,IP64,IP67,IP68,Not known,Other"</formula1>
    </dataValidation>
    <dataValidation type="list" operator="between" allowBlank="true" showInputMessage="true" showErrorMessage="true" sqref="R114:R115">
      <formula1>"Yes,No"</formula1>
    </dataValidation>
    <dataValidation type="decimal" operator="between" allowBlank="true" showInputMessage="true" showErrorMessage="true" errorTitle="Screen size (in inches) diagonal" error="numeric format expected - for instance 99,99 - or length characters exceeded" sqref="R117">
      <formula1>0</formula1>
      <formula2>99.99</formula2>
    </dataValidation>
    <dataValidation type="whole" operator="between" allowBlank="true" showInputMessage="true" showErrorMessage="true" errorTitle="Width (px)" error="Integer size 4 expected or lenght characters exceeded" sqref="R118">
      <formula1>0</formula1>
      <formula2>9999</formula2>
    </dataValidation>
    <dataValidation type="whole" operator="between" allowBlank="true" showInputMessage="true" showErrorMessage="true" errorTitle="Height (px)" error="Integer size 4 expected or lenght characters exceeded" sqref="R119">
      <formula1>0</formula1>
      <formula2>9999</formula2>
    </dataValidation>
    <dataValidation type="list" operator="between" allowBlank="true" showInputMessage="true" showErrorMessage="true" sqref="R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R121">
      <formula1>0</formula1>
      <formula2>9999</formula2>
    </dataValidation>
    <dataValidation type="textLength" operator="between" allowBlank="true" showInputMessage="true" showErrorMessage="true" errorTitle="Contrast ratio" error="Expected length 0&lt;= value length &lt;51" sqref="R122">
      <formula1>0</formula1>
      <formula2>50</formula2>
    </dataValidation>
    <dataValidation type="textLength" operator="between" allowBlank="true" showInputMessage="true" showErrorMessage="true" errorTitle="Brightness (cd/m2)" error="Expected length 0&lt;= value length &lt;51" sqref="R123">
      <formula1>0</formula1>
      <formula2>50</formula2>
    </dataValidation>
    <dataValidation type="list" operator="between" allowBlank="true" showInputMessage="true" showErrorMessage="true" sqref="R124:R126">
      <formula1>"Yes,No"</formula1>
    </dataValidation>
    <dataValidation type="list" operator="between" allowBlank="true" showInputMessage="true" showErrorMessage="true" sqref="R128">
      <formula1>"Yes,No"</formula1>
    </dataValidation>
    <dataValidation type="list" operator="between" allowBlank="true" showInputMessage="true" showErrorMessage="true" sqref="R129">
      <formula1>"No,2,3,4,5,More"</formula1>
    </dataValidation>
    <dataValidation type="list" operator="between" allowBlank="true" showInputMessage="true" showErrorMessage="true" sqref="R130">
      <formula1>"No,2FF,3FF (MicroSIM),4FF (nano SIM),e-SIM,e-SIM or 4FF (nano SIM)"</formula1>
    </dataValidation>
    <dataValidation type="list" operator="between" allowBlank="true" showInputMessage="true" showErrorMessage="true" sqref="R132">
      <formula1>='Listes deroulantes'!$U$2:$U$28</formula1>
    </dataValidation>
    <dataValidation type="textLength" operator="between" allowBlank="true" showInputMessage="true" showErrorMessage="true" errorTitle="Wi-FI chipset name" error="Alphanumeric size 50 characters exceeded" sqref="R133">
      <formula1>0</formula1>
      <formula2>50</formula2>
    </dataValidation>
    <dataValidation type="list" operator="between" allowBlank="true" showInputMessage="true" showErrorMessage="true" sqref="R134:R148">
      <formula1>"Yes,No"</formula1>
    </dataValidation>
    <dataValidation type="list" operator="between" allowBlank="true" showInputMessage="true" showErrorMessage="true" sqref="R149">
      <formula1>"2x2,4x4,6x6,8x8"</formula1>
    </dataValidation>
    <dataValidation type="list" operator="between" allowBlank="true" showInputMessage="true" showErrorMessage="true" sqref="R150">
      <formula1>='Listes deroulantes'!$V$2:$V$16</formula1>
    </dataValidation>
    <dataValidation type="textLength" operator="between" allowBlank="true" showInputMessage="true" showErrorMessage="true" errorTitle="Bluetooth Profile" error="Alphanumeric size 100 characters exceeded" sqref="R151">
      <formula1>0</formula1>
      <formula2>100</formula2>
    </dataValidation>
    <dataValidation type="list" operator="between" allowBlank="true" showInputMessage="true" showErrorMessage="true" sqref="R152:R154">
      <formula1>"Yes,No"</formula1>
    </dataValidation>
    <dataValidation type="list" operator="between" allowBlank="true" showInputMessage="true" showErrorMessage="true" sqref="R158">
      <formula1>"No,A-GPS,GPS Standalone,GNSS"</formula1>
    </dataValidation>
    <dataValidation type="list" operator="between" allowBlank="true" showInputMessage="true" showErrorMessage="true" sqref="R159">
      <formula1>='Listes deroulantes'!$Q$2:$Q$10</formula1>
    </dataValidation>
    <dataValidation type="list" operator="between" allowBlank="true" showInputMessage="true" showErrorMessage="true" sqref="R160">
      <formula1>='Listes deroulantes'!$W$2:$W$9</formula1>
    </dataValidation>
    <dataValidation type="list" operator="between" allowBlank="true" showInputMessage="true" showErrorMessage="true" sqref="R161:R166">
      <formula1>"Yes,No"</formula1>
    </dataValidation>
    <dataValidation type="list" operator="between" allowBlank="true" showInputMessage="true" showErrorMessage="true" sqref="R168:R172">
      <formula1>"Yes,No"</formula1>
    </dataValidation>
    <dataValidation type="whole" operator="between" allowBlank="true" showInputMessage="true" showErrorMessage="true" errorTitle="Battery capacity (mAh)" error="Integer size 5 expected or lenght characters exceeded" sqref="R176">
      <formula1>0</formula1>
      <formula2>99999</formula2>
    </dataValidation>
    <dataValidation type="list" operator="between" allowBlank="true" showInputMessage="true" showErrorMessage="true" sqref="R177">
      <formula1>"Li-Ion,Li-Poly,Li-Ion-Poly,Li-Technology,NiMH"</formula1>
    </dataValidation>
    <dataValidation type="list" operator="between" allowBlank="true" showInputMessage="true" showErrorMessage="true" sqref="R178">
      <formula1>"Yes,No"</formula1>
    </dataValidation>
    <dataValidation type="list" operator="between" allowBlank="true" showInputMessage="true" showErrorMessage="true" sqref="R179">
      <formula1>"No,Qi,Other"</formula1>
    </dataValidation>
    <dataValidation type="list" operator="between" allowBlank="true" showInputMessage="true" showErrorMessage="true" sqref="R180">
      <formula1>"No,Pump Express,Quick Charge 2.0,Other"</formula1>
    </dataValidation>
    <dataValidation type="list" operator="between" allowBlank="true" showInputMessage="true" showErrorMessage="true" sqref="R182">
      <formula1>"2TB,1TB,512GB,256GB,128GB,64GB,32GB,16GB,8GB,4GB,2GB,1GB,512MB,256MB,128MB"</formula1>
    </dataValidation>
    <dataValidation type="list" operator="between" allowBlank="true" showInputMessage="true" showErrorMessage="true" sqref="R183:R186">
      <formula1>"Yes,No"</formula1>
    </dataValidation>
    <dataValidation type="list" operator="between" allowBlank="true" showErrorMessage="true" sqref="R187">
      <formula1>='Listes deroulantes'!$S$2:$S$28</formula1>
    </dataValidation>
    <dataValidation type="list" operator="between" allowBlank="true" showInputMessage="true" showErrorMessage="true" sqref="R189:R198">
      <formula1>"Yes,No"</formula1>
    </dataValidation>
    <dataValidation type="list" operator="between" allowBlank="true" showInputMessage="true" showErrorMessage="true" sqref="R200:R202">
      <formula1>"Yes,No"</formula1>
    </dataValidation>
    <dataValidation type="list" operator="between" allowBlank="true" showInputMessage="true" showErrorMessage="true" sqref="R203">
      <formula1>"No,Picture Basic,Picture Rich,Video Basic,Video Rich,Megapixel,"</formula1>
    </dataValidation>
    <dataValidation type="list" operator="between" allowBlank="true" showInputMessage="true" showErrorMessage="true" sqref="R204">
      <formula1>"600 kB,300 kB,100 kB,30 kB"</formula1>
    </dataValidation>
    <dataValidation type="list" operator="between" allowBlank="true" showInputMessage="true" showErrorMessage="true" sqref="R205">
      <formula1>"No,Android Messages,OEM native messenger"</formula1>
    </dataValidation>
    <dataValidation type="list" operator="between" allowBlank="true" showInputMessage="true" showErrorMessage="true" sqref="R207">
      <formula1>"No,Integrated,Integrated AND Autofocus"</formula1>
    </dataValidation>
    <dataValidation type="list" operator="between" allowBlank="true" showInputMessage="true" showErrorMessage="true" sqref="R208">
      <formula1>"1,2,3,4,5"</formula1>
    </dataValidation>
    <dataValidation type="decimal" operator="between" allowBlank="true" showInputMessage="true" showErrorMessage="true" errorTitle="Main Camera1 resolution (Mpx)" error="numeric format expected - for instance 999,99 - or length characters exceeded" sqref="R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R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R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R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R213">
      <formula1>0</formula1>
      <formula2>999.99</formula2>
    </dataValidation>
    <dataValidation type="list" operator="between" allowBlank="true" showInputMessage="true" showErrorMessage="true" sqref="R214:R215">
      <formula1>"Yes,No"</formula1>
    </dataValidation>
    <dataValidation type="textLength" operator="between" allowBlank="true" showInputMessage="true" showErrorMessage="true" errorTitle="Main Camera comments" error="Alphanumeric size 500 characters exceeded" sqref="R216">
      <formula1>0</formula1>
      <formula2>500</formula2>
    </dataValidation>
    <dataValidation type="textLength" operator="between" allowBlank="true" showInputMessage="true" showErrorMessage="true" errorTitle="Main Camera Features" error="Alphanumeric size 500 characters exceeded" sqref="R217">
      <formula1>0</formula1>
      <formula2>500</formula2>
    </dataValidation>
    <dataValidation type="textLength" operator="between" allowBlank="true" showInputMessage="true" showErrorMessage="true" errorTitle="Main Camera video" error="Alphanumeric size 500 characters exceeded" sqref="R218">
      <formula1>0</formula1>
      <formula2>500</formula2>
    </dataValidation>
    <dataValidation type="list" operator="between" allowBlank="true" showInputMessage="true" showErrorMessage="true" sqref="R219">
      <formula1>"f/0.30,f/0.60,f/0.70,f/0.75,f/0.80,f/0.85,f/0.90,f/0.95,f/1.0,f/1.1,f/1.2,f/1.3,f/1.4,f/1.5,f/1.6,f/1.7,f/1.8,f/1.9,f/2.0,f/2.1,f/2.2,f/2.3,f/2.4,f/2.5,f/2.8,f/2.9,f/3.0"</formula1>
    </dataValidation>
    <dataValidation type="list" operator="between" allowBlank="true" showInputMessage="true" showErrorMessage="true" sqref="R220">
      <formula1>"Yes,No"</formula1>
    </dataValidation>
    <dataValidation type="list" operator="between" allowBlank="true" showInputMessage="true" showErrorMessage="true" sqref="R221">
      <formula1>"No,LED,2 LED,Xenon,Other"</formula1>
    </dataValidation>
    <dataValidation type="list" operator="between" allowBlank="true" showInputMessage="true" showErrorMessage="true" sqref="R223">
      <formula1>"No,Integrated,Integrated AND Autofocus"</formula1>
    </dataValidation>
    <dataValidation type="list" operator="between" allowBlank="true" showInputMessage="true" showErrorMessage="true" sqref="R224">
      <formula1>"1,2"</formula1>
    </dataValidation>
    <dataValidation type="decimal" operator="between" allowBlank="true" showInputMessage="true" showErrorMessage="true" errorTitle="Selfie Camera1 resolution (Mpx)" error="numeric format expected - for instance 999,99 - or length characters exceeded" sqref="R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R226">
      <formula1>0</formula1>
      <formula2>999.99</formula2>
    </dataValidation>
    <dataValidation type="list" operator="between" allowBlank="true" showInputMessage="true" showErrorMessage="true" sqref="R227:R228">
      <formula1>"Yes,No"</formula1>
    </dataValidation>
    <dataValidation type="textLength" operator="between" allowBlank="true" showInputMessage="true" showErrorMessage="true" errorTitle="Selfie Camera comments" error="Alphanumeric size 500 characters exceeded" sqref="R229">
      <formula1>0</formula1>
      <formula2>500</formula2>
    </dataValidation>
    <dataValidation type="textLength" operator="between" allowBlank="true" showInputMessage="true" showErrorMessage="true" errorTitle="Selfie Camera Features" error="Alphanumeric size 500 characters exceeded" sqref="R230">
      <formula1>0</formula1>
      <formula2>500</formula2>
    </dataValidation>
    <dataValidation type="textLength" operator="between" allowBlank="true" showInputMessage="true" showErrorMessage="true" errorTitle="Selfie Camera video" error="Alphanumeric size 500 characters exceeded" sqref="R231">
      <formula1>0</formula1>
      <formula2>500</formula2>
    </dataValidation>
    <dataValidation type="list" operator="between" allowBlank="true" showInputMessage="true" showErrorMessage="true" sqref="R233:R239">
      <formula1>"Yes,No"</formula1>
    </dataValidation>
    <dataValidation type="list" operator="between" allowBlank="true" showInputMessage="true" showErrorMessage="true" sqref="R241">
      <formula1>"Yes,No"</formula1>
    </dataValidation>
    <dataValidation type="list" operator="between" allowBlank="true" showInputMessage="true" showErrorMessage="true" sqref="R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R244">
      <formula1>0</formula1>
      <formula2>9.99</formula2>
    </dataValidation>
    <dataValidation type="decimal" operator="between" allowBlank="true" showInputMessage="true" showErrorMessage="true" errorTitle="SAR head (Watt/kg)" error="numeric format expected - for instance 9,999 - or length characters exceeded" sqref="R245:R246">
      <formula1>0</formula1>
      <formula2>9.99</formula2>
    </dataValidation>
    <dataValidation type="decimal" operator="between" allowBlank="true" showInputMessage="true" showErrorMessage="true" errorTitle="Production value (kg CO2eq) " error="Numeric expected with max size 99,99" sqref="R249">
      <formula1>0</formula1>
      <formula2>99.99</formula2>
    </dataValidation>
    <dataValidation type="decimal" operator="between" allowBlank="true" showInputMessage="true" showErrorMessage="true" errorTitle="Transportation value (kg CO2eq)" error="Numeric expected with max size 99,99" sqref="R250">
      <formula1>0</formula1>
      <formula2>99.99</formula2>
    </dataValidation>
    <dataValidation type="list" operator="between" allowBlank="true" showInputMessage="true" showErrorMessage="true" error="Integer expected with max size 100" sqref="R252">
      <formula1>"R02,R03,R04,R05"</formula1>
    </dataValidation>
    <dataValidation type="decimal" operator="between" allowBlank="true" showInputMessage="true" showErrorMessage="true" errorTitle="Production value (kg CO2eq) " error="Numeric expected with max size 99,99" sqref="R253">
      <formula1>0</formula1>
      <formula2>99.99</formula2>
    </dataValidation>
    <dataValidation type="decimal" operator="between" allowBlank="true" showInputMessage="true" showErrorMessage="true" errorTitle="Adjustment for memory variant" error="-101&lt;Value expected&lt;101" sqref="R254">
      <formula1>-100.99</formula1>
      <formula2>100.99</formula2>
    </dataValidation>
    <dataValidation type="decimal" operator="between" allowBlank="true" showInputMessage="true" showErrorMessage="true" errorTitle="Transportation value (kg CO2eq)" error="Numeric expected with max size 99,99" sqref="R255">
      <formula1>0</formula1>
      <formula2>99.99</formula2>
    </dataValidation>
    <dataValidation type="decimal" operator="between" allowBlank="true" showInputMessage="true" showErrorMessage="true" errorTitle="Production value (kg CO2eq) " error="Numeric expected with max size 99,99" sqref="R257">
      <formula1>0</formula1>
      <formula2>99.99</formula2>
    </dataValidation>
    <dataValidation type="decimal" operator="between" allowBlank="true" showInputMessage="true" showErrorMessage="true" errorTitle="Adjustment for memory variant" error="-101&lt;Value expected&lt;101" sqref="R258">
      <formula1>-100.99</formula1>
      <formula2>100.99</formula2>
    </dataValidation>
    <dataValidation type="decimal" operator="between" allowBlank="true" showInputMessage="true" showErrorMessage="true" errorTitle="Transportation value (kg CO2eq)" error="Numeric expected with max size 99,99" sqref="R259">
      <formula1>0</formula1>
      <formula2>99.99</formula2>
    </dataValidation>
    <dataValidation type="list" operator="between" allowBlank="true" showInputMessage="true" showErrorMessage="true" sqref="R260">
      <formula1>"World,EU,MEA"</formula1>
    </dataValidation>
    <dataValidation type="whole" operator="between" allowBlank="true" showInputMessage="true" showErrorMessage="true" error="Integer expected with max size 100" sqref="R265">
      <formula1>43101</formula1>
      <formula2>54788</formula2>
    </dataValidation>
    <dataValidation type="decimal" operator="between" allowBlank="true" showInputMessage="true" showErrorMessage="true" error="Numeric range expected from 0,00 to 999,99" sqref="R266">
      <formula1>0</formula1>
      <formula2>999.99</formula2>
    </dataValidation>
    <dataValidation type="date" operator="between" allowBlank="true" showInputMessage="true" showErrorMessage="true" error="Integer expected with max size 100" sqref="R267">
      <formula1>43101</formula1>
      <formula2>54788</formula2>
    </dataValidation>
    <dataValidation type="decimal" operator="between" allowBlank="true" showInputMessage="true" showErrorMessage="true" error="Numeric range expected from 0,00 to 999,99" sqref="R268">
      <formula1>0</formula1>
      <formula2>999.99</formula2>
    </dataValidation>
    <dataValidation type="whole" operator="between" allowBlank="true" showInputMessage="true" showErrorMessage="true" error="Integer expected with max size 100" sqref="R272">
      <formula1>43101</formula1>
      <formula2>54788</formula2>
    </dataValidation>
    <dataValidation type="decimal" operator="between" allowBlank="true" showInputMessage="true" showErrorMessage="true" error="Numeric range expected from 0,00 to 999,99" sqref="R273">
      <formula1>0</formula1>
      <formula2>999.99</formula2>
    </dataValidation>
    <dataValidation type="date" operator="between" allowBlank="true" showInputMessage="true" showErrorMessage="true" error="Integer expected with max size 100" sqref="R274">
      <formula1>43101</formula1>
      <formula2>54788</formula2>
    </dataValidation>
    <dataValidation type="decimal" operator="between" allowBlank="true" showInputMessage="true" showErrorMessage="true" error="Numeric range expected from 0,00 to 999,99" sqref="R275">
      <formula1>0</formula1>
      <formula2>999.99</formula2>
    </dataValidation>
    <dataValidation type="whole" operator="between" allowBlank="true" showInputMessage="true" showErrorMessage="true" error="Integer expected with max size 100" sqref="R279">
      <formula1>43101</formula1>
      <formula2>54788</formula2>
    </dataValidation>
    <dataValidation type="decimal" operator="between" allowBlank="true" showInputMessage="true" showErrorMessage="true" error="Numeric range expected from 0,00 to 999,99" sqref="R280">
      <formula1>0</formula1>
      <formula2>999.99</formula2>
    </dataValidation>
    <dataValidation type="date" operator="between" allowBlank="true" showInputMessage="true" showErrorMessage="true" error="Integer expected with max size 100" sqref="R281">
      <formula1>43101</formula1>
      <formula2>54788</formula2>
    </dataValidation>
    <dataValidation type="decimal" operator="between" allowBlank="true" showInputMessage="true" showErrorMessage="true" error="Numeric range expected from 0,00 to 999,99" sqref="R282">
      <formula1>0</formula1>
      <formula2>999.99</formula2>
    </dataValidation>
    <dataValidation type="textLength" errorStyle="stop" operator="between" allowBlank="true" showDropDown="false" showInputMessage="true" showErrorMessage="true" prompt="" sqref="S2">
      <formula1>1</formula1>
      <formula2>10000</formula2>
    </dataValidation>
    <dataValidation type="list" operator="between" allowBlank="true" showInputMessage="true" showErrorMessage="true" sqref="S6">
      <formula1>"Mobile,Tablet"</formula1>
    </dataValidation>
    <dataValidation type="textLength" operator="between" allowBlank="true" showInputMessage="true" showErrorMessage="true" errorTitle="Brand name" error="Alphanumeric size from 3 to 50 characters" sqref="S7">
      <formula1>3</formula1>
      <formula2>50</formula2>
    </dataValidation>
    <dataValidation type="textLength" operator="between" allowBlank="true" showInputMessage="true" showErrorMessage="true" errorTitle="GCF Model name" error="Alphanumeric size 64 characters exceeded" sqref="S8">
      <formula1>0</formula1>
      <formula2>64</formula2>
    </dataValidation>
    <dataValidation type="textLength" operator="between" allowBlank="true" showInputMessage="true" showErrorMessage="true" errorTitle="Comments" error="Alphanumeric size 2000 characters exceeded" sqref="S9">
      <formula1>0</formula1>
      <formula2>2000</formula2>
    </dataValidation>
    <dataValidation type="date" operator="between" allowBlank="true" showErrorMessage="true" errorTitle="Marketing samples availability" error="Date expected" sqref="S10">
      <formula1>43101</formula1>
      <formula2>54788</formula2>
    </dataValidation>
    <dataValidation type="date" operator="between" allowBlank="true" showErrorMessage="true" errorTitle="Technical samples availability" error="Date expected" sqref="S11">
      <formula1>43101</formula1>
      <formula2>54788</formula2>
    </dataValidation>
    <dataValidation type="date" operator="between" allowBlank="true" showErrorMessage="true" errorTitle="Expected Generic Street Launch" error="Date expected" sqref="S12">
      <formula1>43101</formula1>
      <formula2>54788</formula2>
    </dataValidation>
    <dataValidation type="date" operator="between" allowBlank="true" showErrorMessage="true" errorTitle="Expected availability warehouse" error="Date expected" sqref="S13">
      <formula1>43101</formula1>
      <formula2>54788</formula2>
    </dataValidation>
    <dataValidation type="date" operator="between" allowBlank="true" showErrorMessage="true" errorTitle="GCF date" error="Date expected" sqref="S14:S15">
      <formula1>43101</formula1>
      <formula2>54788</formula2>
    </dataValidation>
    <dataValidation type="date" operator="between" allowBlank="true" showErrorMessage="true" errorTitle="Wi-Fi alliance date" error="Date expected" sqref="S16">
      <formula1>43101</formula1>
      <formula2>54788</formula2>
    </dataValidation>
    <dataValidation type="list" operator="between" allowBlank="true" showInputMessage="true" showErrorMessage="true" sqref="S17">
      <formula1>"Flagship,Everyday Superphone,Essential Smartphone,Voice,Not applicable"</formula1>
    </dataValidation>
    <dataValidation type="decimal" operator="between" allowBlank="true" showInputMessage="true" showErrorMessage="true" errorTitle="Repairability index" error="Numeric expected with max size 10,00" sqref="S18">
      <formula1>0</formula1>
      <formula2>10</formula2>
    </dataValidation>
    <dataValidation type="textLength" operator="between" allowBlank="true" showInputMessage="true" showErrorMessage="true" errorTitle="Comments" error="Alphanumeric size 2000 characters exceeded" sqref="S19">
      <formula1>0</formula1>
      <formula2>2000</formula2>
    </dataValidation>
    <dataValidation type="textLength" operator="between" allowBlank="true" showInputMessage="true" showErrorMessage="true" errorTitle="Commercial name" error="Alphanumeric size 120 characters exceeded" sqref="S21">
      <formula1>0</formula1>
      <formula2>120</formula2>
    </dataValidation>
    <dataValidation type="textLength" operator="between" allowBlank="true" showInputMessage="true" showErrorMessage="true" errorTitle="Orange Variant name" error="Alphanumeric size 120 characters exceeded" sqref="S22">
      <formula1>0</formula1>
      <formula2>240</formula2>
    </dataValidation>
    <dataValidation type="list" operator="between" allowBlank="true" showInputMessage="true" showErrorMessage="true" sqref="S23">
      <formula1>"ODM - OBD, ODM - Not OBD"</formula1>
    </dataValidation>
    <dataValidation type="list" operator="between" allowBlank="true" showInputMessage="true" showErrorMessage="true" sqref="S24">
      <formula1>"Flagship,Everyday Superphone,Essential Smartphone,Voice,Not applicable"</formula1>
    </dataValidation>
    <dataValidation type="list" operator="between" allowBlank="true" showInputMessage="true" showErrorMessage="true" sqref="S25">
      <formula1>"Essential Smartphone High,Essential Smartphone Entry,Not applicable"</formula1>
    </dataValidation>
    <dataValidation type="list" operator="between" allowBlank="true" showInputMessage="true" showErrorMessage="true" sqref="S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S29">
      <formula1>0</formula1>
      <formula2>50</formula2>
    </dataValidation>
    <dataValidation type="textLength" operator="between" allowBlank="true" showInputMessage="true" showErrorMessage="true" errorTitle="Hardware Platform ref name" error="Alphanumeric size 50 characters exceeded" sqref="S30">
      <formula1>0</formula1>
      <formula2>50</formula2>
    </dataValidation>
    <dataValidation type="list" operator="between" allowBlank="true" showInputMessage="true" showErrorMessage="true" sqref="S31">
      <formula1>='Listes deroulantes'!$U$2:$U$28</formula1>
    </dataValidation>
    <dataValidation type="textLength" operator="between" allowBlank="true" showInputMessage="true" showErrorMessage="true" errorTitle="Baseband chipset name" error="Alphanumeric size 50 characters exceeded" sqref="S32">
      <formula1>0</formula1>
      <formula2>50</formula2>
    </dataValidation>
    <dataValidation type="list" operator="between" allowBlank="true" showInputMessage="true" showErrorMessage="true" sqref="S33">
      <formula1>"0,1,2,3,4,6,8,Others"</formula1>
    </dataValidation>
    <dataValidation type="list" operator="between" allowBlank="true" showInputMessage="true" showErrorMessage="true" sqref="S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S37">
      <formula1>0</formula1>
      <formula2>10</formula2>
    </dataValidation>
    <dataValidation type="textLength" operator="between" allowBlank="true" showInputMessage="true" showErrorMessage="true" errorTitle="Nb of OS Android patch upgrade" error="Integer size 2 characters exceeded" sqref="S38">
      <formula1>0</formula1>
      <formula2>2</formula2>
    </dataValidation>
    <dataValidation type="textLength" operator="between" allowBlank="true" showInputMessage="true" showErrorMessage="true" errorTitle="OS Android patch upgrade (years)" error="Integer size 2 characters exceeded" sqref="S39">
      <formula1>0</formula1>
      <formula2>2</formula2>
    </dataValidation>
    <dataValidation type="list" operator="between" allowBlank="true" showInputMessage="true" showErrorMessage="true" errorTitle="Frequency Android OS security" error="Value not allowed, select value from drop down menu" sqref="S40">
      <formula1>"Monthly,Quarterly,Half-yearly,Yearly"</formula1>
    </dataValidation>
    <dataValidation type="list" operator="between" allowBlank="true" showInputMessage="true" showErrorMessage="true" sqref="S42:S48">
      <formula1>"Yes,No"</formula1>
    </dataValidation>
    <dataValidation type="list" operator="between" allowBlank="true" showInputMessage="true" showErrorMessage="true" sqref="S49">
      <formula1>"FDD,TDD,FDD / TDD"</formula1>
    </dataValidation>
    <dataValidation type="list" operator="between" allowBlank="true" showInputMessage="true" showErrorMessage="true" sqref="S50">
      <formula1>='Listes deroulantes'!$A$2:$A$32</formula1>
    </dataValidation>
    <dataValidation type="list" operator="between" allowBlank="true" showInputMessage="true" showErrorMessage="true" sqref="S51">
      <formula1>='Listes deroulantes'!$E$2:$E$26</formula1>
    </dataValidation>
    <dataValidation type="list" operator="between" allowBlank="true" showInputMessage="true" showErrorMessage="true" sqref="S52">
      <formula1>='Listes deroulantes'!$C$2:$C$23</formula1>
    </dataValidation>
    <dataValidation type="list" operator="between" allowBlank="true" showInputMessage="true" showErrorMessage="true" sqref="S53:S56">
      <formula1>"Yes,No"</formula1>
    </dataValidation>
    <dataValidation type="list" operator="between" allowBlank="true" showInputMessage="true" showErrorMessage="true" sqref="S57">
      <formula1>"No,2x2,4x4,4x2"</formula1>
    </dataValidation>
    <dataValidation type="list" operator="between" allowBlank="true" showInputMessage="true" showErrorMessage="true" sqref="S58">
      <formula1>"No,2x2"</formula1>
    </dataValidation>
    <dataValidation type="list" operator="between" allowBlank="true" showInputMessage="true" showErrorMessage="true" sqref="S59">
      <formula1>"No,2,3,4,5,6,7,8"</formula1>
    </dataValidation>
    <dataValidation type="list" operator="between" allowBlank="true" showInputMessage="true" showErrorMessage="true" sqref="S60">
      <formula1>='Listes deroulantes'!$G$2:$G$5</formula1>
    </dataValidation>
    <dataValidation type="list" operator="between" allowBlank="true" showInputMessage="true" showErrorMessage="true" sqref="S61">
      <formula1>='Listes deroulantes'!$I$2:$I$3</formula1>
    </dataValidation>
    <dataValidation type="list" operator="between" allowBlank="true" showInputMessage="true" showErrorMessage="true" sqref="S62">
      <formula1>='Listes deroulantes'!$K$2:$K$4</formula1>
    </dataValidation>
    <dataValidation type="list" operator="between" allowBlank="true" showInputMessage="true" showErrorMessage="true" sqref="S64:S97">
      <formula1>"Yes,No"</formula1>
    </dataValidation>
    <dataValidation type="list" operator="between" allowBlank="true" showInputMessage="true" showErrorMessage="true" sqref="S98:S99">
      <formula1>='Listes deroulantes'!$I$2:$I$3</formula1>
    </dataValidation>
    <dataValidation type="list" operator="between" allowBlank="true" showInputMessage="true" showErrorMessage="true" sqref="S100">
      <formula1>='Listes deroulantes'!$M$2:$M$18</formula1>
    </dataValidation>
    <dataValidation type="list" operator="between" allowBlank="true" showInputMessage="true" showErrorMessage="true" sqref="S101">
      <formula1>='Listes deroulantes'!$O$2:$O$4</formula1>
    </dataValidation>
    <dataValidation type="decimal" operator="between" allowBlank="true" showInputMessage="true" showErrorMessage="true" errorTitle="Weight (g)" error="numeric format expected - for instance 999,99 maximum - or length characters exceeded" sqref="S103:S106">
      <formula1>0</formula1>
      <formula2>999.99</formula2>
    </dataValidation>
    <dataValidation type="list" operator="between" allowBlank="true" showInputMessage="true" showErrorMessage="true" sqref="S107">
      <formula1>"Bar,Messenger bar,Clamshell,Slide,Touch,Messenger/sliding touch,Other"</formula1>
    </dataValidation>
    <dataValidation type="list" operator="between" allowBlank="true" showInputMessage="true" showErrorMessage="true" sqref="S108:S109">
      <formula1>"Yes,No"</formula1>
    </dataValidation>
    <dataValidation type="list" operator="between" allowBlank="true" showInputMessage="true" showErrorMessage="true" sqref="S110">
      <formula1>"Hard AZERTY/QWERTY,Touch AZERTY/QWERTY,Hard 20 keys,Numeric keypad only	"</formula1>
    </dataValidation>
    <dataValidation type="list" operator="between" allowBlank="true" showInputMessage="true" showErrorMessage="true" sqref="S111">
      <formula1>"Yes,No"</formula1>
    </dataValidation>
    <dataValidation type="list" operator="between" allowBlank="true" showInputMessage="true" showErrorMessage="true" sqref="S112">
      <formula1>"2m,1.8m,1.5m,1.2m,1.0m,&lt;1.0m"</formula1>
    </dataValidation>
    <dataValidation type="list" operator="between" allowBlank="true" showInputMessage="true" showErrorMessage="true" sqref="S113">
      <formula1>"IP52,IP54,IP57,IP58,IP64,IP67,IP68,Not known,Other"</formula1>
    </dataValidation>
    <dataValidation type="list" operator="between" allowBlank="true" showInputMessage="true" showErrorMessage="true" sqref="S114:S115">
      <formula1>"Yes,No"</formula1>
    </dataValidation>
    <dataValidation type="decimal" operator="between" allowBlank="true" showInputMessage="true" showErrorMessage="true" errorTitle="Screen size (in inches) diagonal" error="numeric format expected - for instance 99,99 - or length characters exceeded" sqref="S117">
      <formula1>0</formula1>
      <formula2>99.99</formula2>
    </dataValidation>
    <dataValidation type="whole" operator="between" allowBlank="true" showInputMessage="true" showErrorMessage="true" errorTitle="Width (px)" error="Integer size 4 expected or lenght characters exceeded" sqref="S118">
      <formula1>0</formula1>
      <formula2>9999</formula2>
    </dataValidation>
    <dataValidation type="whole" operator="between" allowBlank="true" showInputMessage="true" showErrorMessage="true" errorTitle="Height (px)" error="Integer size 4 expected or lenght characters exceeded" sqref="S119">
      <formula1>0</formula1>
      <formula2>9999</formula2>
    </dataValidation>
    <dataValidation type="list" operator="between" allowBlank="true" showInputMessage="true" showErrorMessage="true" sqref="S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S121">
      <formula1>0</formula1>
      <formula2>9999</formula2>
    </dataValidation>
    <dataValidation type="textLength" operator="between" allowBlank="true" showInputMessage="true" showErrorMessage="true" errorTitle="Contrast ratio" error="Expected length 0&lt;= value length &lt;51" sqref="S122">
      <formula1>0</formula1>
      <formula2>50</formula2>
    </dataValidation>
    <dataValidation type="textLength" operator="between" allowBlank="true" showInputMessage="true" showErrorMessage="true" errorTitle="Brightness (cd/m2)" error="Expected length 0&lt;= value length &lt;51" sqref="S123">
      <formula1>0</formula1>
      <formula2>50</formula2>
    </dataValidation>
    <dataValidation type="list" operator="between" allowBlank="true" showInputMessage="true" showErrorMessage="true" sqref="S124:S126">
      <formula1>"Yes,No"</formula1>
    </dataValidation>
    <dataValidation type="list" operator="between" allowBlank="true" showInputMessage="true" showErrorMessage="true" sqref="S128">
      <formula1>"Yes,No"</formula1>
    </dataValidation>
    <dataValidation type="list" operator="between" allowBlank="true" showInputMessage="true" showErrorMessage="true" sqref="S129">
      <formula1>"No,2,3,4,5,More"</formula1>
    </dataValidation>
    <dataValidation type="list" operator="between" allowBlank="true" showInputMessage="true" showErrorMessage="true" sqref="S130">
      <formula1>"No,2FF,3FF (MicroSIM),4FF (nano SIM),e-SIM,e-SIM or 4FF (nano SIM)"</formula1>
    </dataValidation>
    <dataValidation type="list" operator="between" allowBlank="true" showInputMessage="true" showErrorMessage="true" sqref="S132">
      <formula1>='Listes deroulantes'!$U$2:$U$28</formula1>
    </dataValidation>
    <dataValidation type="textLength" operator="between" allowBlank="true" showInputMessage="true" showErrorMessage="true" errorTitle="Wi-FI chipset name" error="Alphanumeric size 50 characters exceeded" sqref="S133">
      <formula1>0</formula1>
      <formula2>50</formula2>
    </dataValidation>
    <dataValidation type="list" operator="between" allowBlank="true" showInputMessage="true" showErrorMessage="true" sqref="S134:S148">
      <formula1>"Yes,No"</formula1>
    </dataValidation>
    <dataValidation type="list" operator="between" allowBlank="true" showInputMessage="true" showErrorMessage="true" sqref="S149">
      <formula1>"2x2,4x4,6x6,8x8"</formula1>
    </dataValidation>
    <dataValidation type="list" operator="between" allowBlank="true" showInputMessage="true" showErrorMessage="true" sqref="S150">
      <formula1>='Listes deroulantes'!$V$2:$V$16</formula1>
    </dataValidation>
    <dataValidation type="textLength" operator="between" allowBlank="true" showInputMessage="true" showErrorMessage="true" errorTitle="Bluetooth Profile" error="Alphanumeric size 100 characters exceeded" sqref="S151">
      <formula1>0</formula1>
      <formula2>100</formula2>
    </dataValidation>
    <dataValidation type="list" operator="between" allowBlank="true" showInputMessage="true" showErrorMessage="true" sqref="S152:S154">
      <formula1>"Yes,No"</formula1>
    </dataValidation>
    <dataValidation type="list" operator="between" allowBlank="true" showInputMessage="true" showErrorMessage="true" sqref="S158">
      <formula1>"No,A-GPS,GPS Standalone,GNSS"</formula1>
    </dataValidation>
    <dataValidation type="list" operator="between" allowBlank="true" showInputMessage="true" showErrorMessage="true" sqref="S159">
      <formula1>='Listes deroulantes'!$Q$2:$Q$10</formula1>
    </dataValidation>
    <dataValidation type="list" operator="between" allowBlank="true" showInputMessage="true" showErrorMessage="true" sqref="S160">
      <formula1>='Listes deroulantes'!$W$2:$W$9</formula1>
    </dataValidation>
    <dataValidation type="list" operator="between" allowBlank="true" showInputMessage="true" showErrorMessage="true" sqref="S161:S166">
      <formula1>"Yes,No"</formula1>
    </dataValidation>
    <dataValidation type="list" operator="between" allowBlank="true" showInputMessage="true" showErrorMessage="true" sqref="S168:S172">
      <formula1>"Yes,No"</formula1>
    </dataValidation>
    <dataValidation type="whole" operator="between" allowBlank="true" showInputMessage="true" showErrorMessage="true" errorTitle="Battery capacity (mAh)" error="Integer size 5 expected or lenght characters exceeded" sqref="S176">
      <formula1>0</formula1>
      <formula2>99999</formula2>
    </dataValidation>
    <dataValidation type="list" operator="between" allowBlank="true" showInputMessage="true" showErrorMessage="true" sqref="S177">
      <formula1>"Li-Ion,Li-Poly,Li-Ion-Poly,Li-Technology,NiMH"</formula1>
    </dataValidation>
    <dataValidation type="list" operator="between" allowBlank="true" showInputMessage="true" showErrorMessage="true" sqref="S178">
      <formula1>"Yes,No"</formula1>
    </dataValidation>
    <dataValidation type="list" operator="between" allowBlank="true" showInputMessage="true" showErrorMessage="true" sqref="S179">
      <formula1>"No,Qi,Other"</formula1>
    </dataValidation>
    <dataValidation type="list" operator="between" allowBlank="true" showInputMessage="true" showErrorMessage="true" sqref="S180">
      <formula1>"No,Pump Express,Quick Charge 2.0,Other"</formula1>
    </dataValidation>
    <dataValidation type="list" operator="between" allowBlank="true" showInputMessage="true" showErrorMessage="true" sqref="S182">
      <formula1>"2TB,1TB,512GB,256GB,128GB,64GB,32GB,16GB,8GB,4GB,2GB,1GB,512MB,256MB,128MB"</formula1>
    </dataValidation>
    <dataValidation type="list" operator="between" allowBlank="true" showInputMessage="true" showErrorMessage="true" sqref="S183:S186">
      <formula1>"Yes,No"</formula1>
    </dataValidation>
    <dataValidation type="list" operator="between" allowBlank="true" showErrorMessage="true" sqref="S187">
      <formula1>='Listes deroulantes'!$S$2:$S$28</formula1>
    </dataValidation>
    <dataValidation type="list" operator="between" allowBlank="true" showInputMessage="true" showErrorMessage="true" sqref="S189:S198">
      <formula1>"Yes,No"</formula1>
    </dataValidation>
    <dataValidation type="list" operator="between" allowBlank="true" showInputMessage="true" showErrorMessage="true" sqref="S200:S202">
      <formula1>"Yes,No"</formula1>
    </dataValidation>
    <dataValidation type="list" operator="between" allowBlank="true" showInputMessage="true" showErrorMessage="true" sqref="S203">
      <formula1>"No,Picture Basic,Picture Rich,Video Basic,Video Rich,Megapixel,"</formula1>
    </dataValidation>
    <dataValidation type="list" operator="between" allowBlank="true" showInputMessage="true" showErrorMessage="true" sqref="S204">
      <formula1>"600 kB,300 kB,100 kB,30 kB"</formula1>
    </dataValidation>
    <dataValidation type="list" operator="between" allowBlank="true" showInputMessage="true" showErrorMessage="true" sqref="S205">
      <formula1>"No,Android Messages,OEM native messenger"</formula1>
    </dataValidation>
    <dataValidation type="list" operator="between" allowBlank="true" showInputMessage="true" showErrorMessage="true" sqref="S207">
      <formula1>"No,Integrated,Integrated AND Autofocus"</formula1>
    </dataValidation>
    <dataValidation type="list" operator="between" allowBlank="true" showInputMessage="true" showErrorMessage="true" sqref="S208">
      <formula1>"1,2,3,4,5"</formula1>
    </dataValidation>
    <dataValidation type="decimal" operator="between" allowBlank="true" showInputMessage="true" showErrorMessage="true" errorTitle="Main Camera1 resolution (Mpx)" error="numeric format expected - for instance 999,99 - or length characters exceeded" sqref="S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S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S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S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S213">
      <formula1>0</formula1>
      <formula2>999.99</formula2>
    </dataValidation>
    <dataValidation type="list" operator="between" allowBlank="true" showInputMessage="true" showErrorMessage="true" sqref="S214:S215">
      <formula1>"Yes,No"</formula1>
    </dataValidation>
    <dataValidation type="textLength" operator="between" allowBlank="true" showInputMessage="true" showErrorMessage="true" errorTitle="Main Camera comments" error="Alphanumeric size 500 characters exceeded" sqref="S216">
      <formula1>0</formula1>
      <formula2>500</formula2>
    </dataValidation>
    <dataValidation type="textLength" operator="between" allowBlank="true" showInputMessage="true" showErrorMessage="true" errorTitle="Main Camera Features" error="Alphanumeric size 500 characters exceeded" sqref="S217">
      <formula1>0</formula1>
      <formula2>500</formula2>
    </dataValidation>
    <dataValidation type="textLength" operator="between" allowBlank="true" showInputMessage="true" showErrorMessage="true" errorTitle="Main Camera video" error="Alphanumeric size 500 characters exceeded" sqref="S218">
      <formula1>0</formula1>
      <formula2>500</formula2>
    </dataValidation>
    <dataValidation type="list" operator="between" allowBlank="true" showInputMessage="true" showErrorMessage="true" sqref="S219">
      <formula1>"f/0.30,f/0.60,f/0.70,f/0.75,f/0.80,f/0.85,f/0.90,f/0.95,f/1.0,f/1.1,f/1.2,f/1.3,f/1.4,f/1.5,f/1.6,f/1.7,f/1.8,f/1.9,f/2.0,f/2.1,f/2.2,f/2.3,f/2.4,f/2.5,f/2.8,f/2.9,f/3.0"</formula1>
    </dataValidation>
    <dataValidation type="list" operator="between" allowBlank="true" showInputMessage="true" showErrorMessage="true" sqref="S220">
      <formula1>"Yes,No"</formula1>
    </dataValidation>
    <dataValidation type="list" operator="between" allowBlank="true" showInputMessage="true" showErrorMessage="true" sqref="S221">
      <formula1>"No,LED,2 LED,Xenon,Other"</formula1>
    </dataValidation>
    <dataValidation type="list" operator="between" allowBlank="true" showInputMessage="true" showErrorMessage="true" sqref="S223">
      <formula1>"No,Integrated,Integrated AND Autofocus"</formula1>
    </dataValidation>
    <dataValidation type="list" operator="between" allowBlank="true" showInputMessage="true" showErrorMessage="true" sqref="S224">
      <formula1>"1,2"</formula1>
    </dataValidation>
    <dataValidation type="decimal" operator="between" allowBlank="true" showInputMessage="true" showErrorMessage="true" errorTitle="Selfie Camera1 resolution (Mpx)" error="numeric format expected - for instance 999,99 - or length characters exceeded" sqref="S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S226">
      <formula1>0</formula1>
      <formula2>999.99</formula2>
    </dataValidation>
    <dataValidation type="list" operator="between" allowBlank="true" showInputMessage="true" showErrorMessage="true" sqref="S227:S228">
      <formula1>"Yes,No"</formula1>
    </dataValidation>
    <dataValidation type="textLength" operator="between" allowBlank="true" showInputMessage="true" showErrorMessage="true" errorTitle="Selfie Camera comments" error="Alphanumeric size 500 characters exceeded" sqref="S229">
      <formula1>0</formula1>
      <formula2>500</formula2>
    </dataValidation>
    <dataValidation type="textLength" operator="between" allowBlank="true" showInputMessage="true" showErrorMessage="true" errorTitle="Selfie Camera Features" error="Alphanumeric size 500 characters exceeded" sqref="S230">
      <formula1>0</formula1>
      <formula2>500</formula2>
    </dataValidation>
    <dataValidation type="textLength" operator="between" allowBlank="true" showInputMessage="true" showErrorMessage="true" errorTitle="Selfie Camera video" error="Alphanumeric size 500 characters exceeded" sqref="S231">
      <formula1>0</formula1>
      <formula2>500</formula2>
    </dataValidation>
    <dataValidation type="list" operator="between" allowBlank="true" showInputMessage="true" showErrorMessage="true" sqref="S233:S239">
      <formula1>"Yes,No"</formula1>
    </dataValidation>
    <dataValidation type="list" operator="between" allowBlank="true" showInputMessage="true" showErrorMessage="true" sqref="S241">
      <formula1>"Yes,No"</formula1>
    </dataValidation>
    <dataValidation type="list" operator="between" allowBlank="true" showInputMessage="true" showErrorMessage="true" sqref="S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S244">
      <formula1>0</formula1>
      <formula2>9.99</formula2>
    </dataValidation>
    <dataValidation type="decimal" operator="between" allowBlank="true" showInputMessage="true" showErrorMessage="true" errorTitle="SAR head (Watt/kg)" error="numeric format expected - for instance 9,999 - or length characters exceeded" sqref="S245:S246">
      <formula1>0</formula1>
      <formula2>9.99</formula2>
    </dataValidation>
    <dataValidation type="decimal" operator="between" allowBlank="true" showInputMessage="true" showErrorMessage="true" errorTitle="Production value (kg CO2eq) " error="Numeric expected with max size 99,99" sqref="S249">
      <formula1>0</formula1>
      <formula2>99.99</formula2>
    </dataValidation>
    <dataValidation type="decimal" operator="between" allowBlank="true" showInputMessage="true" showErrorMessage="true" errorTitle="Transportation value (kg CO2eq)" error="Numeric expected with max size 99,99" sqref="S250">
      <formula1>0</formula1>
      <formula2>99.99</formula2>
    </dataValidation>
    <dataValidation type="list" operator="between" allowBlank="true" showInputMessage="true" showErrorMessage="true" error="Integer expected with max size 100" sqref="S252">
      <formula1>"R02,R03,R04,R05"</formula1>
    </dataValidation>
    <dataValidation type="decimal" operator="between" allowBlank="true" showInputMessage="true" showErrorMessage="true" errorTitle="Production value (kg CO2eq) " error="Numeric expected with max size 99,99" sqref="S253">
      <formula1>0</formula1>
      <formula2>99.99</formula2>
    </dataValidation>
    <dataValidation type="decimal" operator="between" allowBlank="true" showInputMessage="true" showErrorMessage="true" errorTitle="Adjustment for memory variant" error="-101&lt;Value expected&lt;101" sqref="S254">
      <formula1>-100.99</formula1>
      <formula2>100.99</formula2>
    </dataValidation>
    <dataValidation type="decimal" operator="between" allowBlank="true" showInputMessage="true" showErrorMessage="true" errorTitle="Transportation value (kg CO2eq)" error="Numeric expected with max size 99,99" sqref="S255">
      <formula1>0</formula1>
      <formula2>99.99</formula2>
    </dataValidation>
    <dataValidation type="decimal" operator="between" allowBlank="true" showInputMessage="true" showErrorMessage="true" errorTitle="Production value (kg CO2eq) " error="Numeric expected with max size 99,99" sqref="S257">
      <formula1>0</formula1>
      <formula2>99.99</formula2>
    </dataValidation>
    <dataValidation type="decimal" operator="between" allowBlank="true" showInputMessage="true" showErrorMessage="true" errorTitle="Adjustment for memory variant" error="-101&lt;Value expected&lt;101" sqref="S258">
      <formula1>-100.99</formula1>
      <formula2>100.99</formula2>
    </dataValidation>
    <dataValidation type="decimal" operator="between" allowBlank="true" showInputMessage="true" showErrorMessage="true" errorTitle="Transportation value (kg CO2eq)" error="Numeric expected with max size 99,99" sqref="S259">
      <formula1>0</formula1>
      <formula2>99.99</formula2>
    </dataValidation>
    <dataValidation type="list" operator="between" allowBlank="true" showInputMessage="true" showErrorMessage="true" sqref="S260">
      <formula1>"World,EU,MEA"</formula1>
    </dataValidation>
    <dataValidation type="whole" operator="between" allowBlank="true" showInputMessage="true" showErrorMessage="true" error="Integer expected with max size 100" sqref="S265">
      <formula1>43101</formula1>
      <formula2>54788</formula2>
    </dataValidation>
    <dataValidation type="decimal" operator="between" allowBlank="true" showInputMessage="true" showErrorMessage="true" error="Numeric range expected from 0,00 to 999,99" sqref="S266">
      <formula1>0</formula1>
      <formula2>999.99</formula2>
    </dataValidation>
    <dataValidation type="date" operator="between" allowBlank="true" showInputMessage="true" showErrorMessage="true" error="Integer expected with max size 100" sqref="S267">
      <formula1>43101</formula1>
      <formula2>54788</formula2>
    </dataValidation>
    <dataValidation type="decimal" operator="between" allowBlank="true" showInputMessage="true" showErrorMessage="true" error="Numeric range expected from 0,00 to 999,99" sqref="S268">
      <formula1>0</formula1>
      <formula2>999.99</formula2>
    </dataValidation>
    <dataValidation type="whole" operator="between" allowBlank="true" showInputMessage="true" showErrorMessage="true" error="Integer expected with max size 100" sqref="S272">
      <formula1>43101</formula1>
      <formula2>54788</formula2>
    </dataValidation>
    <dataValidation type="decimal" operator="between" allowBlank="true" showInputMessage="true" showErrorMessage="true" error="Numeric range expected from 0,00 to 999,99" sqref="S273">
      <formula1>0</formula1>
      <formula2>999.99</formula2>
    </dataValidation>
    <dataValidation type="date" operator="between" allowBlank="true" showInputMessage="true" showErrorMessage="true" error="Integer expected with max size 100" sqref="S274">
      <formula1>43101</formula1>
      <formula2>54788</formula2>
    </dataValidation>
    <dataValidation type="decimal" operator="between" allowBlank="true" showInputMessage="true" showErrorMessage="true" error="Numeric range expected from 0,00 to 999,99" sqref="S275">
      <formula1>0</formula1>
      <formula2>999.99</formula2>
    </dataValidation>
    <dataValidation type="whole" operator="between" allowBlank="true" showInputMessage="true" showErrorMessage="true" error="Integer expected with max size 100" sqref="S279">
      <formula1>43101</formula1>
      <formula2>54788</formula2>
    </dataValidation>
    <dataValidation type="decimal" operator="between" allowBlank="true" showInputMessage="true" showErrorMessage="true" error="Numeric range expected from 0,00 to 999,99" sqref="S280">
      <formula1>0</formula1>
      <formula2>999.99</formula2>
    </dataValidation>
    <dataValidation type="date" operator="between" allowBlank="true" showInputMessage="true" showErrorMessage="true" error="Integer expected with max size 100" sqref="S281">
      <formula1>43101</formula1>
      <formula2>54788</formula2>
    </dataValidation>
    <dataValidation type="decimal" operator="between" allowBlank="true" showInputMessage="true" showErrorMessage="true" error="Numeric range expected from 0,00 to 999,99" sqref="S282">
      <formula1>0</formula1>
      <formula2>999.99</formula2>
    </dataValidation>
    <dataValidation type="textLength" errorStyle="stop" operator="between" allowBlank="true" showDropDown="false" showInputMessage="true" showErrorMessage="true" prompt="" sqref="T2">
      <formula1>1</formula1>
      <formula2>10000</formula2>
    </dataValidation>
    <dataValidation type="list" operator="between" allowBlank="true" showInputMessage="true" showErrorMessage="true" sqref="T6">
      <formula1>"Mobile,Tablet"</formula1>
    </dataValidation>
    <dataValidation type="textLength" operator="between" allowBlank="true" showInputMessage="true" showErrorMessage="true" errorTitle="Brand name" error="Alphanumeric size from 3 to 50 characters" sqref="T7">
      <formula1>3</formula1>
      <formula2>50</formula2>
    </dataValidation>
    <dataValidation type="textLength" operator="between" allowBlank="true" showInputMessage="true" showErrorMessage="true" errorTitle="GCF Model name" error="Alphanumeric size 64 characters exceeded" sqref="T8">
      <formula1>0</formula1>
      <formula2>64</formula2>
    </dataValidation>
    <dataValidation type="textLength" operator="between" allowBlank="true" showInputMessage="true" showErrorMessage="true" errorTitle="Comments" error="Alphanumeric size 2000 characters exceeded" sqref="T9">
      <formula1>0</formula1>
      <formula2>2000</formula2>
    </dataValidation>
    <dataValidation type="date" operator="between" allowBlank="true" showErrorMessage="true" errorTitle="Marketing samples availability" error="Date expected" sqref="T10">
      <formula1>43101</formula1>
      <formula2>54788</formula2>
    </dataValidation>
    <dataValidation type="date" operator="between" allowBlank="true" showErrorMessage="true" errorTitle="Technical samples availability" error="Date expected" sqref="T11">
      <formula1>43101</formula1>
      <formula2>54788</formula2>
    </dataValidation>
    <dataValidation type="date" operator="between" allowBlank="true" showErrorMessage="true" errorTitle="Expected Generic Street Launch" error="Date expected" sqref="T12">
      <formula1>43101</formula1>
      <formula2>54788</formula2>
    </dataValidation>
    <dataValidation type="date" operator="between" allowBlank="true" showErrorMessage="true" errorTitle="Expected availability warehouse" error="Date expected" sqref="T13">
      <formula1>43101</formula1>
      <formula2>54788</formula2>
    </dataValidation>
    <dataValidation type="date" operator="between" allowBlank="true" showErrorMessage="true" errorTitle="GCF date" error="Date expected" sqref="T14:T15">
      <formula1>43101</formula1>
      <formula2>54788</formula2>
    </dataValidation>
    <dataValidation type="date" operator="between" allowBlank="true" showErrorMessage="true" errorTitle="Wi-Fi alliance date" error="Date expected" sqref="T16">
      <formula1>43101</formula1>
      <formula2>54788</formula2>
    </dataValidation>
    <dataValidation type="list" operator="between" allowBlank="true" showInputMessage="true" showErrorMessage="true" sqref="T17">
      <formula1>"Flagship,Everyday Superphone,Essential Smartphone,Voice,Not applicable"</formula1>
    </dataValidation>
    <dataValidation type="decimal" operator="between" allowBlank="true" showInputMessage="true" showErrorMessage="true" errorTitle="Repairability index" error="Numeric expected with max size 10,00" sqref="T18">
      <formula1>0</formula1>
      <formula2>10</formula2>
    </dataValidation>
    <dataValidation type="textLength" operator="between" allowBlank="true" showInputMessage="true" showErrorMessage="true" errorTitle="Comments" error="Alphanumeric size 2000 characters exceeded" sqref="T19">
      <formula1>0</formula1>
      <formula2>2000</formula2>
    </dataValidation>
    <dataValidation type="textLength" operator="between" allowBlank="true" showInputMessage="true" showErrorMessage="true" errorTitle="Commercial name" error="Alphanumeric size 120 characters exceeded" sqref="T21">
      <formula1>0</formula1>
      <formula2>120</formula2>
    </dataValidation>
    <dataValidation type="textLength" operator="between" allowBlank="true" showInputMessage="true" showErrorMessage="true" errorTitle="Orange Variant name" error="Alphanumeric size 120 characters exceeded" sqref="T22">
      <formula1>0</formula1>
      <formula2>240</formula2>
    </dataValidation>
    <dataValidation type="list" operator="between" allowBlank="true" showInputMessage="true" showErrorMessage="true" sqref="T23">
      <formula1>"ODM - OBD, ODM - Not OBD"</formula1>
    </dataValidation>
    <dataValidation type="list" operator="between" allowBlank="true" showInputMessage="true" showErrorMessage="true" sqref="T24">
      <formula1>"Flagship,Everyday Superphone,Essential Smartphone,Voice,Not applicable"</formula1>
    </dataValidation>
    <dataValidation type="list" operator="between" allowBlank="true" showInputMessage="true" showErrorMessage="true" sqref="T25">
      <formula1>"Essential Smartphone High,Essential Smartphone Entry,Not applicable"</formula1>
    </dataValidation>
    <dataValidation type="list" operator="between" allowBlank="true" showInputMessage="true" showErrorMessage="true" sqref="T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T29">
      <formula1>0</formula1>
      <formula2>50</formula2>
    </dataValidation>
    <dataValidation type="textLength" operator="between" allowBlank="true" showInputMessage="true" showErrorMessage="true" errorTitle="Hardware Platform ref name" error="Alphanumeric size 50 characters exceeded" sqref="T30">
      <formula1>0</formula1>
      <formula2>50</formula2>
    </dataValidation>
    <dataValidation type="list" operator="between" allowBlank="true" showInputMessage="true" showErrorMessage="true" sqref="T31">
      <formula1>='Listes deroulantes'!$U$2:$U$28</formula1>
    </dataValidation>
    <dataValidation type="textLength" operator="between" allowBlank="true" showInputMessage="true" showErrorMessage="true" errorTitle="Baseband chipset name" error="Alphanumeric size 50 characters exceeded" sqref="T32">
      <formula1>0</formula1>
      <formula2>50</formula2>
    </dataValidation>
    <dataValidation type="list" operator="between" allowBlank="true" showInputMessage="true" showErrorMessage="true" sqref="T33">
      <formula1>"0,1,2,3,4,6,8,Others"</formula1>
    </dataValidation>
    <dataValidation type="list" operator="between" allowBlank="true" showInputMessage="true" showErrorMessage="true" sqref="T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T37">
      <formula1>0</formula1>
      <formula2>10</formula2>
    </dataValidation>
    <dataValidation type="textLength" operator="between" allowBlank="true" showInputMessage="true" showErrorMessage="true" errorTitle="Nb of OS Android patch upgrade" error="Integer size 2 characters exceeded" sqref="T38">
      <formula1>0</formula1>
      <formula2>2</formula2>
    </dataValidation>
    <dataValidation type="textLength" operator="between" allowBlank="true" showInputMessage="true" showErrorMessage="true" errorTitle="OS Android patch upgrade (years)" error="Integer size 2 characters exceeded" sqref="T39">
      <formula1>0</formula1>
      <formula2>2</formula2>
    </dataValidation>
    <dataValidation type="list" operator="between" allowBlank="true" showInputMessage="true" showErrorMessage="true" errorTitle="Frequency Android OS security" error="Value not allowed, select value from drop down menu" sqref="T40">
      <formula1>"Monthly,Quarterly,Half-yearly,Yearly"</formula1>
    </dataValidation>
    <dataValidation type="list" operator="between" allowBlank="true" showInputMessage="true" showErrorMessage="true" sqref="T42:T48">
      <formula1>"Yes,No"</formula1>
    </dataValidation>
    <dataValidation type="list" operator="between" allowBlank="true" showInputMessage="true" showErrorMessage="true" sqref="T49">
      <formula1>"FDD,TDD,FDD / TDD"</formula1>
    </dataValidation>
    <dataValidation type="list" operator="between" allowBlank="true" showInputMessage="true" showErrorMessage="true" sqref="T50">
      <formula1>='Listes deroulantes'!$A$2:$A$32</formula1>
    </dataValidation>
    <dataValidation type="list" operator="between" allowBlank="true" showInputMessage="true" showErrorMessage="true" sqref="T51">
      <formula1>='Listes deroulantes'!$E$2:$E$26</formula1>
    </dataValidation>
    <dataValidation type="list" operator="between" allowBlank="true" showInputMessage="true" showErrorMessage="true" sqref="T52">
      <formula1>='Listes deroulantes'!$C$2:$C$23</formula1>
    </dataValidation>
    <dataValidation type="list" operator="between" allowBlank="true" showInputMessage="true" showErrorMessage="true" sqref="T53:T56">
      <formula1>"Yes,No"</formula1>
    </dataValidation>
    <dataValidation type="list" operator="between" allowBlank="true" showInputMessage="true" showErrorMessage="true" sqref="T57">
      <formula1>"No,2x2,4x4,4x2"</formula1>
    </dataValidation>
    <dataValidation type="list" operator="between" allowBlank="true" showInputMessage="true" showErrorMessage="true" sqref="T58">
      <formula1>"No,2x2"</formula1>
    </dataValidation>
    <dataValidation type="list" operator="between" allowBlank="true" showInputMessage="true" showErrorMessage="true" sqref="T59">
      <formula1>"No,2,3,4,5,6,7,8"</formula1>
    </dataValidation>
    <dataValidation type="list" operator="between" allowBlank="true" showInputMessage="true" showErrorMessage="true" sqref="T60">
      <formula1>='Listes deroulantes'!$G$2:$G$5</formula1>
    </dataValidation>
    <dataValidation type="list" operator="between" allowBlank="true" showInputMessage="true" showErrorMessage="true" sqref="T61">
      <formula1>='Listes deroulantes'!$I$2:$I$3</formula1>
    </dataValidation>
    <dataValidation type="list" operator="between" allowBlank="true" showInputMessage="true" showErrorMessage="true" sqref="T62">
      <formula1>='Listes deroulantes'!$K$2:$K$4</formula1>
    </dataValidation>
    <dataValidation type="list" operator="between" allowBlank="true" showInputMessage="true" showErrorMessage="true" sqref="T64:T97">
      <formula1>"Yes,No"</formula1>
    </dataValidation>
    <dataValidation type="list" operator="between" allowBlank="true" showInputMessage="true" showErrorMessage="true" sqref="T98:T99">
      <formula1>='Listes deroulantes'!$I$2:$I$3</formula1>
    </dataValidation>
    <dataValidation type="list" operator="between" allowBlank="true" showInputMessage="true" showErrorMessage="true" sqref="T100">
      <formula1>='Listes deroulantes'!$M$2:$M$18</formula1>
    </dataValidation>
    <dataValidation type="list" operator="between" allowBlank="true" showInputMessage="true" showErrorMessage="true" sqref="T101">
      <formula1>='Listes deroulantes'!$O$2:$O$4</formula1>
    </dataValidation>
    <dataValidation type="decimal" operator="between" allowBlank="true" showInputMessage="true" showErrorMessage="true" errorTitle="Weight (g)" error="numeric format expected - for instance 999,99 maximum - or length characters exceeded" sqref="T103:T106">
      <formula1>0</formula1>
      <formula2>999.99</formula2>
    </dataValidation>
    <dataValidation type="list" operator="between" allowBlank="true" showInputMessage="true" showErrorMessage="true" sqref="T107">
      <formula1>"Bar,Messenger bar,Clamshell,Slide,Touch,Messenger/sliding touch,Other"</formula1>
    </dataValidation>
    <dataValidation type="list" operator="between" allowBlank="true" showInputMessage="true" showErrorMessage="true" sqref="T108:T109">
      <formula1>"Yes,No"</formula1>
    </dataValidation>
    <dataValidation type="list" operator="between" allowBlank="true" showInputMessage="true" showErrorMessage="true" sqref="T110">
      <formula1>"Hard AZERTY/QWERTY,Touch AZERTY/QWERTY,Hard 20 keys,Numeric keypad only	"</formula1>
    </dataValidation>
    <dataValidation type="list" operator="between" allowBlank="true" showInputMessage="true" showErrorMessage="true" sqref="T111">
      <formula1>"Yes,No"</formula1>
    </dataValidation>
    <dataValidation type="list" operator="between" allowBlank="true" showInputMessage="true" showErrorMessage="true" sqref="T112">
      <formula1>"2m,1.8m,1.5m,1.2m,1.0m,&lt;1.0m"</formula1>
    </dataValidation>
    <dataValidation type="list" operator="between" allowBlank="true" showInputMessage="true" showErrorMessage="true" sqref="T113">
      <formula1>"IP52,IP54,IP57,IP58,IP64,IP67,IP68,Not known,Other"</formula1>
    </dataValidation>
    <dataValidation type="list" operator="between" allowBlank="true" showInputMessage="true" showErrorMessage="true" sqref="T114:T115">
      <formula1>"Yes,No"</formula1>
    </dataValidation>
    <dataValidation type="decimal" operator="between" allowBlank="true" showInputMessage="true" showErrorMessage="true" errorTitle="Screen size (in inches) diagonal" error="numeric format expected - for instance 99,99 - or length characters exceeded" sqref="T117">
      <formula1>0</formula1>
      <formula2>99.99</formula2>
    </dataValidation>
    <dataValidation type="whole" operator="between" allowBlank="true" showInputMessage="true" showErrorMessage="true" errorTitle="Width (px)" error="Integer size 4 expected or lenght characters exceeded" sqref="T118">
      <formula1>0</formula1>
      <formula2>9999</formula2>
    </dataValidation>
    <dataValidation type="whole" operator="between" allowBlank="true" showInputMessage="true" showErrorMessage="true" errorTitle="Height (px)" error="Integer size 4 expected or lenght characters exceeded" sqref="T119">
      <formula1>0</formula1>
      <formula2>9999</formula2>
    </dataValidation>
    <dataValidation type="list" operator="between" allowBlank="true" showInputMessage="true" showErrorMessage="true" sqref="T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T121">
      <formula1>0</formula1>
      <formula2>9999</formula2>
    </dataValidation>
    <dataValidation type="textLength" operator="between" allowBlank="true" showInputMessage="true" showErrorMessage="true" errorTitle="Contrast ratio" error="Expected length 0&lt;= value length &lt;51" sqref="T122">
      <formula1>0</formula1>
      <formula2>50</formula2>
    </dataValidation>
    <dataValidation type="textLength" operator="between" allowBlank="true" showInputMessage="true" showErrorMessage="true" errorTitle="Brightness (cd/m2)" error="Expected length 0&lt;= value length &lt;51" sqref="T123">
      <formula1>0</formula1>
      <formula2>50</formula2>
    </dataValidation>
    <dataValidation type="list" operator="between" allowBlank="true" showInputMessage="true" showErrorMessage="true" sqref="T124:T126">
      <formula1>"Yes,No"</formula1>
    </dataValidation>
    <dataValidation type="list" operator="between" allowBlank="true" showInputMessage="true" showErrorMessage="true" sqref="T128">
      <formula1>"Yes,No"</formula1>
    </dataValidation>
    <dataValidation type="list" operator="between" allowBlank="true" showInputMessage="true" showErrorMessage="true" sqref="T129">
      <formula1>"No,2,3,4,5,More"</formula1>
    </dataValidation>
    <dataValidation type="list" operator="between" allowBlank="true" showInputMessage="true" showErrorMessage="true" sqref="T130">
      <formula1>"No,2FF,3FF (MicroSIM),4FF (nano SIM),e-SIM,e-SIM or 4FF (nano SIM)"</formula1>
    </dataValidation>
    <dataValidation type="list" operator="between" allowBlank="true" showInputMessage="true" showErrorMessage="true" sqref="T132">
      <formula1>='Listes deroulantes'!$U$2:$U$28</formula1>
    </dataValidation>
    <dataValidation type="textLength" operator="between" allowBlank="true" showInputMessage="true" showErrorMessage="true" errorTitle="Wi-FI chipset name" error="Alphanumeric size 50 characters exceeded" sqref="T133">
      <formula1>0</formula1>
      <formula2>50</formula2>
    </dataValidation>
    <dataValidation type="list" operator="between" allowBlank="true" showInputMessage="true" showErrorMessage="true" sqref="T134:T148">
      <formula1>"Yes,No"</formula1>
    </dataValidation>
    <dataValidation type="list" operator="between" allowBlank="true" showInputMessage="true" showErrorMessage="true" sqref="T149">
      <formula1>"2x2,4x4,6x6,8x8"</formula1>
    </dataValidation>
    <dataValidation type="list" operator="between" allowBlank="true" showInputMessage="true" showErrorMessage="true" sqref="T150">
      <formula1>='Listes deroulantes'!$V$2:$V$16</formula1>
    </dataValidation>
    <dataValidation type="textLength" operator="between" allowBlank="true" showInputMessage="true" showErrorMessage="true" errorTitle="Bluetooth Profile" error="Alphanumeric size 100 characters exceeded" sqref="T151">
      <formula1>0</formula1>
      <formula2>100</formula2>
    </dataValidation>
    <dataValidation type="list" operator="between" allowBlank="true" showInputMessage="true" showErrorMessage="true" sqref="T152:T154">
      <formula1>"Yes,No"</formula1>
    </dataValidation>
    <dataValidation type="list" operator="between" allowBlank="true" showInputMessage="true" showErrorMessage="true" sqref="T158">
      <formula1>"No,A-GPS,GPS Standalone,GNSS"</formula1>
    </dataValidation>
    <dataValidation type="list" operator="between" allowBlank="true" showInputMessage="true" showErrorMessage="true" sqref="T159">
      <formula1>='Listes deroulantes'!$Q$2:$Q$10</formula1>
    </dataValidation>
    <dataValidation type="list" operator="between" allowBlank="true" showInputMessage="true" showErrorMessage="true" sqref="T160">
      <formula1>='Listes deroulantes'!$W$2:$W$9</formula1>
    </dataValidation>
    <dataValidation type="list" operator="between" allowBlank="true" showInputMessage="true" showErrorMessage="true" sqref="T161:T166">
      <formula1>"Yes,No"</formula1>
    </dataValidation>
    <dataValidation type="list" operator="between" allowBlank="true" showInputMessage="true" showErrorMessage="true" sqref="T168:T172">
      <formula1>"Yes,No"</formula1>
    </dataValidation>
    <dataValidation type="whole" operator="between" allowBlank="true" showInputMessage="true" showErrorMessage="true" errorTitle="Battery capacity (mAh)" error="Integer size 5 expected or lenght characters exceeded" sqref="T176">
      <formula1>0</formula1>
      <formula2>99999</formula2>
    </dataValidation>
    <dataValidation type="list" operator="between" allowBlank="true" showInputMessage="true" showErrorMessage="true" sqref="T177">
      <formula1>"Li-Ion,Li-Poly,Li-Ion-Poly,Li-Technology,NiMH"</formula1>
    </dataValidation>
    <dataValidation type="list" operator="between" allowBlank="true" showInputMessage="true" showErrorMessage="true" sqref="T178">
      <formula1>"Yes,No"</formula1>
    </dataValidation>
    <dataValidation type="list" operator="between" allowBlank="true" showInputMessage="true" showErrorMessage="true" sqref="T179">
      <formula1>"No,Qi,Other"</formula1>
    </dataValidation>
    <dataValidation type="list" operator="between" allowBlank="true" showInputMessage="true" showErrorMessage="true" sqref="T180">
      <formula1>"No,Pump Express,Quick Charge 2.0,Other"</formula1>
    </dataValidation>
    <dataValidation type="list" operator="between" allowBlank="true" showInputMessage="true" showErrorMessage="true" sqref="T182">
      <formula1>"2TB,1TB,512GB,256GB,128GB,64GB,32GB,16GB,8GB,4GB,2GB,1GB,512MB,256MB,128MB"</formula1>
    </dataValidation>
    <dataValidation type="list" operator="between" allowBlank="true" showInputMessage="true" showErrorMessage="true" sqref="T183:T186">
      <formula1>"Yes,No"</formula1>
    </dataValidation>
    <dataValidation type="list" operator="between" allowBlank="true" showErrorMessage="true" sqref="T187">
      <formula1>='Listes deroulantes'!$S$2:$S$28</formula1>
    </dataValidation>
    <dataValidation type="list" operator="between" allowBlank="true" showInputMessage="true" showErrorMessage="true" sqref="T189:T198">
      <formula1>"Yes,No"</formula1>
    </dataValidation>
    <dataValidation type="list" operator="between" allowBlank="true" showInputMessage="true" showErrorMessage="true" sqref="T200:T202">
      <formula1>"Yes,No"</formula1>
    </dataValidation>
    <dataValidation type="list" operator="between" allowBlank="true" showInputMessage="true" showErrorMessage="true" sqref="T203">
      <formula1>"No,Picture Basic,Picture Rich,Video Basic,Video Rich,Megapixel,"</formula1>
    </dataValidation>
    <dataValidation type="list" operator="between" allowBlank="true" showInputMessage="true" showErrorMessage="true" sqref="T204">
      <formula1>"600 kB,300 kB,100 kB,30 kB"</formula1>
    </dataValidation>
    <dataValidation type="list" operator="between" allowBlank="true" showInputMessage="true" showErrorMessage="true" sqref="T205">
      <formula1>"No,Android Messages,OEM native messenger"</formula1>
    </dataValidation>
    <dataValidation type="list" operator="between" allowBlank="true" showInputMessage="true" showErrorMessage="true" sqref="T207">
      <formula1>"No,Integrated,Integrated AND Autofocus"</formula1>
    </dataValidation>
    <dataValidation type="list" operator="between" allowBlank="true" showInputMessage="true" showErrorMessage="true" sqref="T208">
      <formula1>"1,2,3,4,5"</formula1>
    </dataValidation>
    <dataValidation type="decimal" operator="between" allowBlank="true" showInputMessage="true" showErrorMessage="true" errorTitle="Main Camera1 resolution (Mpx)" error="numeric format expected - for instance 999,99 - or length characters exceeded" sqref="T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T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T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T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T213">
      <formula1>0</formula1>
      <formula2>999.99</formula2>
    </dataValidation>
    <dataValidation type="list" operator="between" allowBlank="true" showInputMessage="true" showErrorMessage="true" sqref="T214:T215">
      <formula1>"Yes,No"</formula1>
    </dataValidation>
    <dataValidation type="textLength" operator="between" allowBlank="true" showInputMessage="true" showErrorMessage="true" errorTitle="Main Camera comments" error="Alphanumeric size 500 characters exceeded" sqref="T216">
      <formula1>0</formula1>
      <formula2>500</formula2>
    </dataValidation>
    <dataValidation type="textLength" operator="between" allowBlank="true" showInputMessage="true" showErrorMessage="true" errorTitle="Main Camera Features" error="Alphanumeric size 500 characters exceeded" sqref="T217">
      <formula1>0</formula1>
      <formula2>500</formula2>
    </dataValidation>
    <dataValidation type="textLength" operator="between" allowBlank="true" showInputMessage="true" showErrorMessage="true" errorTitle="Main Camera video" error="Alphanumeric size 500 characters exceeded" sqref="T218">
      <formula1>0</formula1>
      <formula2>500</formula2>
    </dataValidation>
    <dataValidation type="list" operator="between" allowBlank="true" showInputMessage="true" showErrorMessage="true" sqref="T219">
      <formula1>"f/0.30,f/0.60,f/0.70,f/0.75,f/0.80,f/0.85,f/0.90,f/0.95,f/1.0,f/1.1,f/1.2,f/1.3,f/1.4,f/1.5,f/1.6,f/1.7,f/1.8,f/1.9,f/2.0,f/2.1,f/2.2,f/2.3,f/2.4,f/2.5,f/2.8,f/2.9,f/3.0"</formula1>
    </dataValidation>
    <dataValidation type="list" operator="between" allowBlank="true" showInputMessage="true" showErrorMessage="true" sqref="T220">
      <formula1>"Yes,No"</formula1>
    </dataValidation>
    <dataValidation type="list" operator="between" allowBlank="true" showInputMessage="true" showErrorMessage="true" sqref="T221">
      <formula1>"No,LED,2 LED,Xenon,Other"</formula1>
    </dataValidation>
    <dataValidation type="list" operator="between" allowBlank="true" showInputMessage="true" showErrorMessage="true" sqref="T223">
      <formula1>"No,Integrated,Integrated AND Autofocus"</formula1>
    </dataValidation>
    <dataValidation type="list" operator="between" allowBlank="true" showInputMessage="true" showErrorMessage="true" sqref="T224">
      <formula1>"1,2"</formula1>
    </dataValidation>
    <dataValidation type="decimal" operator="between" allowBlank="true" showInputMessage="true" showErrorMessage="true" errorTitle="Selfie Camera1 resolution (Mpx)" error="numeric format expected - for instance 999,99 - or length characters exceeded" sqref="T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T226">
      <formula1>0</formula1>
      <formula2>999.99</formula2>
    </dataValidation>
    <dataValidation type="list" operator="between" allowBlank="true" showInputMessage="true" showErrorMessage="true" sqref="T227:T228">
      <formula1>"Yes,No"</formula1>
    </dataValidation>
    <dataValidation type="textLength" operator="between" allowBlank="true" showInputMessage="true" showErrorMessage="true" errorTitle="Selfie Camera comments" error="Alphanumeric size 500 characters exceeded" sqref="T229">
      <formula1>0</formula1>
      <formula2>500</formula2>
    </dataValidation>
    <dataValidation type="textLength" operator="between" allowBlank="true" showInputMessage="true" showErrorMessage="true" errorTitle="Selfie Camera Features" error="Alphanumeric size 500 characters exceeded" sqref="T230">
      <formula1>0</formula1>
      <formula2>500</formula2>
    </dataValidation>
    <dataValidation type="textLength" operator="between" allowBlank="true" showInputMessage="true" showErrorMessage="true" errorTitle="Selfie Camera video" error="Alphanumeric size 500 characters exceeded" sqref="T231">
      <formula1>0</formula1>
      <formula2>500</formula2>
    </dataValidation>
    <dataValidation type="list" operator="between" allowBlank="true" showInputMessage="true" showErrorMessage="true" sqref="T233:T239">
      <formula1>"Yes,No"</formula1>
    </dataValidation>
    <dataValidation type="list" operator="between" allowBlank="true" showInputMessage="true" showErrorMessage="true" sqref="T241">
      <formula1>"Yes,No"</formula1>
    </dataValidation>
    <dataValidation type="list" operator="between" allowBlank="true" showInputMessage="true" showErrorMessage="true" sqref="T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T244">
      <formula1>0</formula1>
      <formula2>9.99</formula2>
    </dataValidation>
    <dataValidation type="decimal" operator="between" allowBlank="true" showInputMessage="true" showErrorMessage="true" errorTitle="SAR head (Watt/kg)" error="numeric format expected - for instance 9,999 - or length characters exceeded" sqref="T245:T246">
      <formula1>0</formula1>
      <formula2>9.99</formula2>
    </dataValidation>
    <dataValidation type="decimal" operator="between" allowBlank="true" showInputMessage="true" showErrorMessage="true" errorTitle="Production value (kg CO2eq) " error="Numeric expected with max size 99,99" sqref="T249">
      <formula1>0</formula1>
      <formula2>99.99</formula2>
    </dataValidation>
    <dataValidation type="decimal" operator="between" allowBlank="true" showInputMessage="true" showErrorMessage="true" errorTitle="Transportation value (kg CO2eq)" error="Numeric expected with max size 99,99" sqref="T250">
      <formula1>0</formula1>
      <formula2>99.99</formula2>
    </dataValidation>
    <dataValidation type="list" operator="between" allowBlank="true" showInputMessage="true" showErrorMessage="true" error="Integer expected with max size 100" sqref="T252">
      <formula1>"R02,R03,R04,R05"</formula1>
    </dataValidation>
    <dataValidation type="decimal" operator="between" allowBlank="true" showInputMessage="true" showErrorMessage="true" errorTitle="Production value (kg CO2eq) " error="Numeric expected with max size 99,99" sqref="T253">
      <formula1>0</formula1>
      <formula2>99.99</formula2>
    </dataValidation>
    <dataValidation type="decimal" operator="between" allowBlank="true" showInputMessage="true" showErrorMessage="true" errorTitle="Adjustment for memory variant" error="-101&lt;Value expected&lt;101" sqref="T254">
      <formula1>-100.99</formula1>
      <formula2>100.99</formula2>
    </dataValidation>
    <dataValidation type="decimal" operator="between" allowBlank="true" showInputMessage="true" showErrorMessage="true" errorTitle="Transportation value (kg CO2eq)" error="Numeric expected with max size 99,99" sqref="T255">
      <formula1>0</formula1>
      <formula2>99.99</formula2>
    </dataValidation>
    <dataValidation type="decimal" operator="between" allowBlank="true" showInputMessage="true" showErrorMessage="true" errorTitle="Production value (kg CO2eq) " error="Numeric expected with max size 99,99" sqref="T257">
      <formula1>0</formula1>
      <formula2>99.99</formula2>
    </dataValidation>
    <dataValidation type="decimal" operator="between" allowBlank="true" showInputMessage="true" showErrorMessage="true" errorTitle="Adjustment for memory variant" error="-101&lt;Value expected&lt;101" sqref="T258">
      <formula1>-100.99</formula1>
      <formula2>100.99</formula2>
    </dataValidation>
    <dataValidation type="decimal" operator="between" allowBlank="true" showInputMessage="true" showErrorMessage="true" errorTitle="Transportation value (kg CO2eq)" error="Numeric expected with max size 99,99" sqref="T259">
      <formula1>0</formula1>
      <formula2>99.99</formula2>
    </dataValidation>
    <dataValidation type="list" operator="between" allowBlank="true" showInputMessage="true" showErrorMessage="true" sqref="T260">
      <formula1>"World,EU,MEA"</formula1>
    </dataValidation>
    <dataValidation type="whole" operator="between" allowBlank="true" showInputMessage="true" showErrorMessage="true" error="Integer expected with max size 100" sqref="T265">
      <formula1>43101</formula1>
      <formula2>54788</formula2>
    </dataValidation>
    <dataValidation type="decimal" operator="between" allowBlank="true" showInputMessage="true" showErrorMessage="true" error="Numeric range expected from 0,00 to 999,99" sqref="T266">
      <formula1>0</formula1>
      <formula2>999.99</formula2>
    </dataValidation>
    <dataValidation type="date" operator="between" allowBlank="true" showInputMessage="true" showErrorMessage="true" error="Integer expected with max size 100" sqref="T267">
      <formula1>43101</formula1>
      <formula2>54788</formula2>
    </dataValidation>
    <dataValidation type="decimal" operator="between" allowBlank="true" showInputMessage="true" showErrorMessage="true" error="Numeric range expected from 0,00 to 999,99" sqref="T268">
      <formula1>0</formula1>
      <formula2>999.99</formula2>
    </dataValidation>
    <dataValidation type="whole" operator="between" allowBlank="true" showInputMessage="true" showErrorMessage="true" error="Integer expected with max size 100" sqref="T272">
      <formula1>43101</formula1>
      <formula2>54788</formula2>
    </dataValidation>
    <dataValidation type="decimal" operator="between" allowBlank="true" showInputMessage="true" showErrorMessage="true" error="Numeric range expected from 0,00 to 999,99" sqref="T273">
      <formula1>0</formula1>
      <formula2>999.99</formula2>
    </dataValidation>
    <dataValidation type="date" operator="between" allowBlank="true" showInputMessage="true" showErrorMessage="true" error="Integer expected with max size 100" sqref="T274">
      <formula1>43101</formula1>
      <formula2>54788</formula2>
    </dataValidation>
    <dataValidation type="decimal" operator="between" allowBlank="true" showInputMessage="true" showErrorMessage="true" error="Numeric range expected from 0,00 to 999,99" sqref="T275">
      <formula1>0</formula1>
      <formula2>999.99</formula2>
    </dataValidation>
    <dataValidation type="whole" operator="between" allowBlank="true" showInputMessage="true" showErrorMessage="true" error="Integer expected with max size 100" sqref="T279">
      <formula1>43101</formula1>
      <formula2>54788</formula2>
    </dataValidation>
    <dataValidation type="decimal" operator="between" allowBlank="true" showInputMessage="true" showErrorMessage="true" error="Numeric range expected from 0,00 to 999,99" sqref="T280">
      <formula1>0</formula1>
      <formula2>999.99</formula2>
    </dataValidation>
    <dataValidation type="date" operator="between" allowBlank="true" showInputMessage="true" showErrorMessage="true" error="Integer expected with max size 100" sqref="T281">
      <formula1>43101</formula1>
      <formula2>54788</formula2>
    </dataValidation>
    <dataValidation type="decimal" operator="between" allowBlank="true" showInputMessage="true" showErrorMessage="true" error="Numeric range expected from 0,00 to 999,99" sqref="T282">
      <formula1>0</formula1>
      <formula2>999.99</formula2>
    </dataValidation>
    <dataValidation type="textLength" errorStyle="stop" operator="between" allowBlank="true" showDropDown="false" showInputMessage="true" showErrorMessage="true" prompt="" sqref="U2">
      <formula1>1</formula1>
      <formula2>10000</formula2>
    </dataValidation>
    <dataValidation type="list" operator="between" allowBlank="true" showInputMessage="true" showErrorMessage="true" sqref="U6">
      <formula1>"Mobile,Tablet"</formula1>
    </dataValidation>
    <dataValidation type="textLength" operator="between" allowBlank="true" showInputMessage="true" showErrorMessage="true" errorTitle="Brand name" error="Alphanumeric size from 3 to 50 characters" sqref="U7">
      <formula1>3</formula1>
      <formula2>50</formula2>
    </dataValidation>
    <dataValidation type="textLength" operator="between" allowBlank="true" showInputMessage="true" showErrorMessage="true" errorTitle="GCF Model name" error="Alphanumeric size 64 characters exceeded" sqref="U8">
      <formula1>0</formula1>
      <formula2>64</formula2>
    </dataValidation>
    <dataValidation type="textLength" operator="between" allowBlank="true" showInputMessage="true" showErrorMessage="true" errorTitle="Comments" error="Alphanumeric size 2000 characters exceeded" sqref="U9">
      <formula1>0</formula1>
      <formula2>2000</formula2>
    </dataValidation>
    <dataValidation type="date" operator="between" allowBlank="true" showErrorMessage="true" errorTitle="Marketing samples availability" error="Date expected" sqref="U10">
      <formula1>43101</formula1>
      <formula2>54788</formula2>
    </dataValidation>
    <dataValidation type="date" operator="between" allowBlank="true" showErrorMessage="true" errorTitle="Technical samples availability" error="Date expected" sqref="U11">
      <formula1>43101</formula1>
      <formula2>54788</formula2>
    </dataValidation>
    <dataValidation type="date" operator="between" allowBlank="true" showErrorMessage="true" errorTitle="Expected Generic Street Launch" error="Date expected" sqref="U12">
      <formula1>43101</formula1>
      <formula2>54788</formula2>
    </dataValidation>
    <dataValidation type="date" operator="between" allowBlank="true" showErrorMessage="true" errorTitle="Expected availability warehouse" error="Date expected" sqref="U13">
      <formula1>43101</formula1>
      <formula2>54788</formula2>
    </dataValidation>
    <dataValidation type="date" operator="between" allowBlank="true" showErrorMessage="true" errorTitle="GCF date" error="Date expected" sqref="U14:U15">
      <formula1>43101</formula1>
      <formula2>54788</formula2>
    </dataValidation>
    <dataValidation type="date" operator="between" allowBlank="true" showErrorMessage="true" errorTitle="Wi-Fi alliance date" error="Date expected" sqref="U16">
      <formula1>43101</formula1>
      <formula2>54788</formula2>
    </dataValidation>
    <dataValidation type="list" operator="between" allowBlank="true" showInputMessage="true" showErrorMessage="true" sqref="U17">
      <formula1>"Flagship,Everyday Superphone,Essential Smartphone,Voice,Not applicable"</formula1>
    </dataValidation>
    <dataValidation type="decimal" operator="between" allowBlank="true" showInputMessage="true" showErrorMessage="true" errorTitle="Repairability index" error="Numeric expected with max size 10,00" sqref="U18">
      <formula1>0</formula1>
      <formula2>10</formula2>
    </dataValidation>
    <dataValidation type="textLength" operator="between" allowBlank="true" showInputMessage="true" showErrorMessage="true" errorTitle="Comments" error="Alphanumeric size 2000 characters exceeded" sqref="U19">
      <formula1>0</formula1>
      <formula2>2000</formula2>
    </dataValidation>
    <dataValidation type="textLength" operator="between" allowBlank="true" showInputMessage="true" showErrorMessage="true" errorTitle="Commercial name" error="Alphanumeric size 120 characters exceeded" sqref="U21">
      <formula1>0</formula1>
      <formula2>120</formula2>
    </dataValidation>
    <dataValidation type="textLength" operator="between" allowBlank="true" showInputMessage="true" showErrorMessage="true" errorTitle="Orange Variant name" error="Alphanumeric size 120 characters exceeded" sqref="U22">
      <formula1>0</formula1>
      <formula2>240</formula2>
    </dataValidation>
    <dataValidation type="list" operator="between" allowBlank="true" showInputMessage="true" showErrorMessage="true" sqref="U23">
      <formula1>"ODM - OBD, ODM - Not OBD"</formula1>
    </dataValidation>
    <dataValidation type="list" operator="between" allowBlank="true" showInputMessage="true" showErrorMessage="true" sqref="U24">
      <formula1>"Flagship,Everyday Superphone,Essential Smartphone,Voice,Not applicable"</formula1>
    </dataValidation>
    <dataValidation type="list" operator="between" allowBlank="true" showInputMessage="true" showErrorMessage="true" sqref="U25">
      <formula1>"Essential Smartphone High,Essential Smartphone Entry,Not applicable"</formula1>
    </dataValidation>
    <dataValidation type="list" operator="between" allowBlank="true" showInputMessage="true" showErrorMessage="true" sqref="U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U29">
      <formula1>0</formula1>
      <formula2>50</formula2>
    </dataValidation>
    <dataValidation type="textLength" operator="between" allowBlank="true" showInputMessage="true" showErrorMessage="true" errorTitle="Hardware Platform ref name" error="Alphanumeric size 50 characters exceeded" sqref="U30">
      <formula1>0</formula1>
      <formula2>50</formula2>
    </dataValidation>
    <dataValidation type="list" operator="between" allowBlank="true" showInputMessage="true" showErrorMessage="true" sqref="U31">
      <formula1>='Listes deroulantes'!$U$2:$U$28</formula1>
    </dataValidation>
    <dataValidation type="textLength" operator="between" allowBlank="true" showInputMessage="true" showErrorMessage="true" errorTitle="Baseband chipset name" error="Alphanumeric size 50 characters exceeded" sqref="U32">
      <formula1>0</formula1>
      <formula2>50</formula2>
    </dataValidation>
    <dataValidation type="list" operator="between" allowBlank="true" showInputMessage="true" showErrorMessage="true" sqref="U33">
      <formula1>"0,1,2,3,4,6,8,Others"</formula1>
    </dataValidation>
    <dataValidation type="list" operator="between" allowBlank="true" showInputMessage="true" showErrorMessage="true" sqref="U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U37">
      <formula1>0</formula1>
      <formula2>10</formula2>
    </dataValidation>
    <dataValidation type="textLength" operator="between" allowBlank="true" showInputMessage="true" showErrorMessage="true" errorTitle="Nb of OS Android patch upgrade" error="Integer size 2 characters exceeded" sqref="U38">
      <formula1>0</formula1>
      <formula2>2</formula2>
    </dataValidation>
    <dataValidation type="textLength" operator="between" allowBlank="true" showInputMessage="true" showErrorMessage="true" errorTitle="OS Android patch upgrade (years)" error="Integer size 2 characters exceeded" sqref="U39">
      <formula1>0</formula1>
      <formula2>2</formula2>
    </dataValidation>
    <dataValidation type="list" operator="between" allowBlank="true" showInputMessage="true" showErrorMessage="true" errorTitle="Frequency Android OS security" error="Value not allowed, select value from drop down menu" sqref="U40">
      <formula1>"Monthly,Quarterly,Half-yearly,Yearly"</formula1>
    </dataValidation>
    <dataValidation type="list" operator="between" allowBlank="true" showInputMessage="true" showErrorMessage="true" sqref="U42:U48">
      <formula1>"Yes,No"</formula1>
    </dataValidation>
    <dataValidation type="list" operator="between" allowBlank="true" showInputMessage="true" showErrorMessage="true" sqref="U49">
      <formula1>"FDD,TDD,FDD / TDD"</formula1>
    </dataValidation>
    <dataValidation type="list" operator="between" allowBlank="true" showInputMessage="true" showErrorMessage="true" sqref="U50">
      <formula1>='Listes deroulantes'!$A$2:$A$32</formula1>
    </dataValidation>
    <dataValidation type="list" operator="between" allowBlank="true" showInputMessage="true" showErrorMessage="true" sqref="U51">
      <formula1>='Listes deroulantes'!$E$2:$E$26</formula1>
    </dataValidation>
    <dataValidation type="list" operator="between" allowBlank="true" showInputMessage="true" showErrorMessage="true" sqref="U52">
      <formula1>='Listes deroulantes'!$C$2:$C$23</formula1>
    </dataValidation>
    <dataValidation type="list" operator="between" allowBlank="true" showInputMessage="true" showErrorMessage="true" sqref="U53:U56">
      <formula1>"Yes,No"</formula1>
    </dataValidation>
    <dataValidation type="list" operator="between" allowBlank="true" showInputMessage="true" showErrorMessage="true" sqref="U57">
      <formula1>"No,2x2,4x4,4x2"</formula1>
    </dataValidation>
    <dataValidation type="list" operator="between" allowBlank="true" showInputMessage="true" showErrorMessage="true" sqref="U58">
      <formula1>"No,2x2"</formula1>
    </dataValidation>
    <dataValidation type="list" operator="between" allowBlank="true" showInputMessage="true" showErrorMessage="true" sqref="U59">
      <formula1>"No,2,3,4,5,6,7,8"</formula1>
    </dataValidation>
    <dataValidation type="list" operator="between" allowBlank="true" showInputMessage="true" showErrorMessage="true" sqref="U60">
      <formula1>='Listes deroulantes'!$G$2:$G$5</formula1>
    </dataValidation>
    <dataValidation type="list" operator="between" allowBlank="true" showInputMessage="true" showErrorMessage="true" sqref="U61">
      <formula1>='Listes deroulantes'!$I$2:$I$3</formula1>
    </dataValidation>
    <dataValidation type="list" operator="between" allowBlank="true" showInputMessage="true" showErrorMessage="true" sqref="U62">
      <formula1>='Listes deroulantes'!$K$2:$K$4</formula1>
    </dataValidation>
    <dataValidation type="list" operator="between" allowBlank="true" showInputMessage="true" showErrorMessage="true" sqref="U64:U97">
      <formula1>"Yes,No"</formula1>
    </dataValidation>
    <dataValidation type="list" operator="between" allowBlank="true" showInputMessage="true" showErrorMessage="true" sqref="U98:U99">
      <formula1>='Listes deroulantes'!$I$2:$I$3</formula1>
    </dataValidation>
    <dataValidation type="list" operator="between" allowBlank="true" showInputMessage="true" showErrorMessage="true" sqref="U100">
      <formula1>='Listes deroulantes'!$M$2:$M$18</formula1>
    </dataValidation>
    <dataValidation type="list" operator="between" allowBlank="true" showInputMessage="true" showErrorMessage="true" sqref="U101">
      <formula1>='Listes deroulantes'!$O$2:$O$4</formula1>
    </dataValidation>
    <dataValidation type="decimal" operator="between" allowBlank="true" showInputMessage="true" showErrorMessage="true" errorTitle="Weight (g)" error="numeric format expected - for instance 999,99 maximum - or length characters exceeded" sqref="U103:U106">
      <formula1>0</formula1>
      <formula2>999.99</formula2>
    </dataValidation>
    <dataValidation type="list" operator="between" allowBlank="true" showInputMessage="true" showErrorMessage="true" sqref="U107">
      <formula1>"Bar,Messenger bar,Clamshell,Slide,Touch,Messenger/sliding touch,Other"</formula1>
    </dataValidation>
    <dataValidation type="list" operator="between" allowBlank="true" showInputMessage="true" showErrorMessage="true" sqref="U108:U109">
      <formula1>"Yes,No"</formula1>
    </dataValidation>
    <dataValidation type="list" operator="between" allowBlank="true" showInputMessage="true" showErrorMessage="true" sqref="U110">
      <formula1>"Hard AZERTY/QWERTY,Touch AZERTY/QWERTY,Hard 20 keys,Numeric keypad only	"</formula1>
    </dataValidation>
    <dataValidation type="list" operator="between" allowBlank="true" showInputMessage="true" showErrorMessage="true" sqref="U111">
      <formula1>"Yes,No"</formula1>
    </dataValidation>
    <dataValidation type="list" operator="between" allowBlank="true" showInputMessage="true" showErrorMessage="true" sqref="U112">
      <formula1>"2m,1.8m,1.5m,1.2m,1.0m,&lt;1.0m"</formula1>
    </dataValidation>
    <dataValidation type="list" operator="between" allowBlank="true" showInputMessage="true" showErrorMessage="true" sqref="U113">
      <formula1>"IP52,IP54,IP57,IP58,IP64,IP67,IP68,Not known,Other"</formula1>
    </dataValidation>
    <dataValidation type="list" operator="between" allowBlank="true" showInputMessage="true" showErrorMessage="true" sqref="U114:U115">
      <formula1>"Yes,No"</formula1>
    </dataValidation>
    <dataValidation type="decimal" operator="between" allowBlank="true" showInputMessage="true" showErrorMessage="true" errorTitle="Screen size (in inches) diagonal" error="numeric format expected - for instance 99,99 - or length characters exceeded" sqref="U117">
      <formula1>0</formula1>
      <formula2>99.99</formula2>
    </dataValidation>
    <dataValidation type="whole" operator="between" allowBlank="true" showInputMessage="true" showErrorMessage="true" errorTitle="Width (px)" error="Integer size 4 expected or lenght characters exceeded" sqref="U118">
      <formula1>0</formula1>
      <formula2>9999</formula2>
    </dataValidation>
    <dataValidation type="whole" operator="between" allowBlank="true" showInputMessage="true" showErrorMessage="true" errorTitle="Height (px)" error="Integer size 4 expected or lenght characters exceeded" sqref="U119">
      <formula1>0</formula1>
      <formula2>9999</formula2>
    </dataValidation>
    <dataValidation type="list" operator="between" allowBlank="true" showInputMessage="true" showErrorMessage="true" sqref="U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U121">
      <formula1>0</formula1>
      <formula2>9999</formula2>
    </dataValidation>
    <dataValidation type="textLength" operator="between" allowBlank="true" showInputMessage="true" showErrorMessage="true" errorTitle="Contrast ratio" error="Expected length 0&lt;= value length &lt;51" sqref="U122">
      <formula1>0</formula1>
      <formula2>50</formula2>
    </dataValidation>
    <dataValidation type="textLength" operator="between" allowBlank="true" showInputMessage="true" showErrorMessage="true" errorTitle="Brightness (cd/m2)" error="Expected length 0&lt;= value length &lt;51" sqref="U123">
      <formula1>0</formula1>
      <formula2>50</formula2>
    </dataValidation>
    <dataValidation type="list" operator="between" allowBlank="true" showInputMessage="true" showErrorMessage="true" sqref="U124:U126">
      <formula1>"Yes,No"</formula1>
    </dataValidation>
    <dataValidation type="list" operator="between" allowBlank="true" showInputMessage="true" showErrorMessage="true" sqref="U128">
      <formula1>"Yes,No"</formula1>
    </dataValidation>
    <dataValidation type="list" operator="between" allowBlank="true" showInputMessage="true" showErrorMessage="true" sqref="U129">
      <formula1>"No,2,3,4,5,More"</formula1>
    </dataValidation>
    <dataValidation type="list" operator="between" allowBlank="true" showInputMessage="true" showErrorMessage="true" sqref="U130">
      <formula1>"No,2FF,3FF (MicroSIM),4FF (nano SIM),e-SIM,e-SIM or 4FF (nano SIM)"</formula1>
    </dataValidation>
    <dataValidation type="list" operator="between" allowBlank="true" showInputMessage="true" showErrorMessage="true" sqref="U132">
      <formula1>='Listes deroulantes'!$U$2:$U$28</formula1>
    </dataValidation>
    <dataValidation type="textLength" operator="between" allowBlank="true" showInputMessage="true" showErrorMessage="true" errorTitle="Wi-FI chipset name" error="Alphanumeric size 50 characters exceeded" sqref="U133">
      <formula1>0</formula1>
      <formula2>50</formula2>
    </dataValidation>
    <dataValidation type="list" operator="between" allowBlank="true" showInputMessage="true" showErrorMessage="true" sqref="U134:U148">
      <formula1>"Yes,No"</formula1>
    </dataValidation>
    <dataValidation type="list" operator="between" allowBlank="true" showInputMessage="true" showErrorMessage="true" sqref="U149">
      <formula1>"2x2,4x4,6x6,8x8"</formula1>
    </dataValidation>
    <dataValidation type="list" operator="between" allowBlank="true" showInputMessage="true" showErrorMessage="true" sqref="U150">
      <formula1>='Listes deroulantes'!$V$2:$V$16</formula1>
    </dataValidation>
    <dataValidation type="textLength" operator="between" allowBlank="true" showInputMessage="true" showErrorMessage="true" errorTitle="Bluetooth Profile" error="Alphanumeric size 100 characters exceeded" sqref="U151">
      <formula1>0</formula1>
      <formula2>100</formula2>
    </dataValidation>
    <dataValidation type="list" operator="between" allowBlank="true" showInputMessage="true" showErrorMessage="true" sqref="U152:U154">
      <formula1>"Yes,No"</formula1>
    </dataValidation>
    <dataValidation type="list" operator="between" allowBlank="true" showInputMessage="true" showErrorMessage="true" sqref="U158">
      <formula1>"No,A-GPS,GPS Standalone,GNSS"</formula1>
    </dataValidation>
    <dataValidation type="list" operator="between" allowBlank="true" showInputMessage="true" showErrorMessage="true" sqref="U159">
      <formula1>='Listes deroulantes'!$Q$2:$Q$10</formula1>
    </dataValidation>
    <dataValidation type="list" operator="between" allowBlank="true" showInputMessage="true" showErrorMessage="true" sqref="U160">
      <formula1>='Listes deroulantes'!$W$2:$W$9</formula1>
    </dataValidation>
    <dataValidation type="list" operator="between" allowBlank="true" showInputMessage="true" showErrorMessage="true" sqref="U161:U166">
      <formula1>"Yes,No"</formula1>
    </dataValidation>
    <dataValidation type="list" operator="between" allowBlank="true" showInputMessage="true" showErrorMessage="true" sqref="U168:U172">
      <formula1>"Yes,No"</formula1>
    </dataValidation>
    <dataValidation type="whole" operator="between" allowBlank="true" showInputMessage="true" showErrorMessage="true" errorTitle="Battery capacity (mAh)" error="Integer size 5 expected or lenght characters exceeded" sqref="U176">
      <formula1>0</formula1>
      <formula2>99999</formula2>
    </dataValidation>
    <dataValidation type="list" operator="between" allowBlank="true" showInputMessage="true" showErrorMessage="true" sqref="U177">
      <formula1>"Li-Ion,Li-Poly,Li-Ion-Poly,Li-Technology,NiMH"</formula1>
    </dataValidation>
    <dataValidation type="list" operator="between" allowBlank="true" showInputMessage="true" showErrorMessage="true" sqref="U178">
      <formula1>"Yes,No"</formula1>
    </dataValidation>
    <dataValidation type="list" operator="between" allowBlank="true" showInputMessage="true" showErrorMessage="true" sqref="U179">
      <formula1>"No,Qi,Other"</formula1>
    </dataValidation>
    <dataValidation type="list" operator="between" allowBlank="true" showInputMessage="true" showErrorMessage="true" sqref="U180">
      <formula1>"No,Pump Express,Quick Charge 2.0,Other"</formula1>
    </dataValidation>
    <dataValidation type="list" operator="between" allowBlank="true" showInputMessage="true" showErrorMessage="true" sqref="U182">
      <formula1>"2TB,1TB,512GB,256GB,128GB,64GB,32GB,16GB,8GB,4GB,2GB,1GB,512MB,256MB,128MB"</formula1>
    </dataValidation>
    <dataValidation type="list" operator="between" allowBlank="true" showInputMessage="true" showErrorMessage="true" sqref="U183:U186">
      <formula1>"Yes,No"</formula1>
    </dataValidation>
    <dataValidation type="list" operator="between" allowBlank="true" showErrorMessage="true" sqref="U187">
      <formula1>='Listes deroulantes'!$S$2:$S$28</formula1>
    </dataValidation>
    <dataValidation type="list" operator="between" allowBlank="true" showInputMessage="true" showErrorMessage="true" sqref="U189:U198">
      <formula1>"Yes,No"</formula1>
    </dataValidation>
    <dataValidation type="list" operator="between" allowBlank="true" showInputMessage="true" showErrorMessage="true" sqref="U200:U202">
      <formula1>"Yes,No"</formula1>
    </dataValidation>
    <dataValidation type="list" operator="between" allowBlank="true" showInputMessage="true" showErrorMessage="true" sqref="U203">
      <formula1>"No,Picture Basic,Picture Rich,Video Basic,Video Rich,Megapixel,"</formula1>
    </dataValidation>
    <dataValidation type="list" operator="between" allowBlank="true" showInputMessage="true" showErrorMessage="true" sqref="U204">
      <formula1>"600 kB,300 kB,100 kB,30 kB"</formula1>
    </dataValidation>
    <dataValidation type="list" operator="between" allowBlank="true" showInputMessage="true" showErrorMessage="true" sqref="U205">
      <formula1>"No,Android Messages,OEM native messenger"</formula1>
    </dataValidation>
    <dataValidation type="list" operator="between" allowBlank="true" showInputMessage="true" showErrorMessage="true" sqref="U207">
      <formula1>"No,Integrated,Integrated AND Autofocus"</formula1>
    </dataValidation>
    <dataValidation type="list" operator="between" allowBlank="true" showInputMessage="true" showErrorMessage="true" sqref="U208">
      <formula1>"1,2,3,4,5"</formula1>
    </dataValidation>
    <dataValidation type="decimal" operator="between" allowBlank="true" showInputMessage="true" showErrorMessage="true" errorTitle="Main Camera1 resolution (Mpx)" error="numeric format expected - for instance 999,99 - or length characters exceeded" sqref="U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U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U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U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U213">
      <formula1>0</formula1>
      <formula2>999.99</formula2>
    </dataValidation>
    <dataValidation type="list" operator="between" allowBlank="true" showInputMessage="true" showErrorMessage="true" sqref="U214:U215">
      <formula1>"Yes,No"</formula1>
    </dataValidation>
    <dataValidation type="textLength" operator="between" allowBlank="true" showInputMessage="true" showErrorMessage="true" errorTitle="Main Camera comments" error="Alphanumeric size 500 characters exceeded" sqref="U216">
      <formula1>0</formula1>
      <formula2>500</formula2>
    </dataValidation>
    <dataValidation type="textLength" operator="between" allowBlank="true" showInputMessage="true" showErrorMessage="true" errorTitle="Main Camera Features" error="Alphanumeric size 500 characters exceeded" sqref="U217">
      <formula1>0</formula1>
      <formula2>500</formula2>
    </dataValidation>
    <dataValidation type="textLength" operator="between" allowBlank="true" showInputMessage="true" showErrorMessage="true" errorTitle="Main Camera video" error="Alphanumeric size 500 characters exceeded" sqref="U218">
      <formula1>0</formula1>
      <formula2>500</formula2>
    </dataValidation>
    <dataValidation type="list" operator="between" allowBlank="true" showInputMessage="true" showErrorMessage="true" sqref="U219">
      <formula1>"f/0.30,f/0.60,f/0.70,f/0.75,f/0.80,f/0.85,f/0.90,f/0.95,f/1.0,f/1.1,f/1.2,f/1.3,f/1.4,f/1.5,f/1.6,f/1.7,f/1.8,f/1.9,f/2.0,f/2.1,f/2.2,f/2.3,f/2.4,f/2.5,f/2.8,f/2.9,f/3.0"</formula1>
    </dataValidation>
    <dataValidation type="list" operator="between" allowBlank="true" showInputMessage="true" showErrorMessage="true" sqref="U220">
      <formula1>"Yes,No"</formula1>
    </dataValidation>
    <dataValidation type="list" operator="between" allowBlank="true" showInputMessage="true" showErrorMessage="true" sqref="U221">
      <formula1>"No,LED,2 LED,Xenon,Other"</formula1>
    </dataValidation>
    <dataValidation type="list" operator="between" allowBlank="true" showInputMessage="true" showErrorMessage="true" sqref="U223">
      <formula1>"No,Integrated,Integrated AND Autofocus"</formula1>
    </dataValidation>
    <dataValidation type="list" operator="between" allowBlank="true" showInputMessage="true" showErrorMessage="true" sqref="U224">
      <formula1>"1,2"</formula1>
    </dataValidation>
    <dataValidation type="decimal" operator="between" allowBlank="true" showInputMessage="true" showErrorMessage="true" errorTitle="Selfie Camera1 resolution (Mpx)" error="numeric format expected - for instance 999,99 - or length characters exceeded" sqref="U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U226">
      <formula1>0</formula1>
      <formula2>999.99</formula2>
    </dataValidation>
    <dataValidation type="list" operator="between" allowBlank="true" showInputMessage="true" showErrorMessage="true" sqref="U227:U228">
      <formula1>"Yes,No"</formula1>
    </dataValidation>
    <dataValidation type="textLength" operator="between" allowBlank="true" showInputMessage="true" showErrorMessage="true" errorTitle="Selfie Camera comments" error="Alphanumeric size 500 characters exceeded" sqref="U229">
      <formula1>0</formula1>
      <formula2>500</formula2>
    </dataValidation>
    <dataValidation type="textLength" operator="between" allowBlank="true" showInputMessage="true" showErrorMessage="true" errorTitle="Selfie Camera Features" error="Alphanumeric size 500 characters exceeded" sqref="U230">
      <formula1>0</formula1>
      <formula2>500</formula2>
    </dataValidation>
    <dataValidation type="textLength" operator="between" allowBlank="true" showInputMessage="true" showErrorMessage="true" errorTitle="Selfie Camera video" error="Alphanumeric size 500 characters exceeded" sqref="U231">
      <formula1>0</formula1>
      <formula2>500</formula2>
    </dataValidation>
    <dataValidation type="list" operator="between" allowBlank="true" showInputMessage="true" showErrorMessage="true" sqref="U233:U239">
      <formula1>"Yes,No"</formula1>
    </dataValidation>
    <dataValidation type="list" operator="between" allowBlank="true" showInputMessage="true" showErrorMessage="true" sqref="U241">
      <formula1>"Yes,No"</formula1>
    </dataValidation>
    <dataValidation type="list" operator="between" allowBlank="true" showInputMessage="true" showErrorMessage="true" sqref="U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U244">
      <formula1>0</formula1>
      <formula2>9.99</formula2>
    </dataValidation>
    <dataValidation type="decimal" operator="between" allowBlank="true" showInputMessage="true" showErrorMessage="true" errorTitle="SAR head (Watt/kg)" error="numeric format expected - for instance 9,999 - or length characters exceeded" sqref="U245:U246">
      <formula1>0</formula1>
      <formula2>9.99</formula2>
    </dataValidation>
    <dataValidation type="decimal" operator="between" allowBlank="true" showInputMessage="true" showErrorMessage="true" errorTitle="Production value (kg CO2eq) " error="Numeric expected with max size 99,99" sqref="U249">
      <formula1>0</formula1>
      <formula2>99.99</formula2>
    </dataValidation>
    <dataValidation type="decimal" operator="between" allowBlank="true" showInputMessage="true" showErrorMessage="true" errorTitle="Transportation value (kg CO2eq)" error="Numeric expected with max size 99,99" sqref="U250">
      <formula1>0</formula1>
      <formula2>99.99</formula2>
    </dataValidation>
    <dataValidation type="list" operator="between" allowBlank="true" showInputMessage="true" showErrorMessage="true" error="Integer expected with max size 100" sqref="U252">
      <formula1>"R02,R03,R04,R05"</formula1>
    </dataValidation>
    <dataValidation type="decimal" operator="between" allowBlank="true" showInputMessage="true" showErrorMessage="true" errorTitle="Production value (kg CO2eq) " error="Numeric expected with max size 99,99" sqref="U253">
      <formula1>0</formula1>
      <formula2>99.99</formula2>
    </dataValidation>
    <dataValidation type="decimal" operator="between" allowBlank="true" showInputMessage="true" showErrorMessage="true" errorTitle="Adjustment for memory variant" error="-101&lt;Value expected&lt;101" sqref="U254">
      <formula1>-100.99</formula1>
      <formula2>100.99</formula2>
    </dataValidation>
    <dataValidation type="decimal" operator="between" allowBlank="true" showInputMessage="true" showErrorMessage="true" errorTitle="Transportation value (kg CO2eq)" error="Numeric expected with max size 99,99" sqref="U255">
      <formula1>0</formula1>
      <formula2>99.99</formula2>
    </dataValidation>
    <dataValidation type="decimal" operator="between" allowBlank="true" showInputMessage="true" showErrorMessage="true" errorTitle="Production value (kg CO2eq) " error="Numeric expected with max size 99,99" sqref="U257">
      <formula1>0</formula1>
      <formula2>99.99</formula2>
    </dataValidation>
    <dataValidation type="decimal" operator="between" allowBlank="true" showInputMessage="true" showErrorMessage="true" errorTitle="Adjustment for memory variant" error="-101&lt;Value expected&lt;101" sqref="U258">
      <formula1>-100.99</formula1>
      <formula2>100.99</formula2>
    </dataValidation>
    <dataValidation type="decimal" operator="between" allowBlank="true" showInputMessage="true" showErrorMessage="true" errorTitle="Transportation value (kg CO2eq)" error="Numeric expected with max size 99,99" sqref="U259">
      <formula1>0</formula1>
      <formula2>99.99</formula2>
    </dataValidation>
    <dataValidation type="list" operator="between" allowBlank="true" showInputMessage="true" showErrorMessage="true" sqref="U260">
      <formula1>"World,EU,MEA"</formula1>
    </dataValidation>
    <dataValidation type="whole" operator="between" allowBlank="true" showInputMessage="true" showErrorMessage="true" error="Integer expected with max size 100" sqref="U265">
      <formula1>43101</formula1>
      <formula2>54788</formula2>
    </dataValidation>
    <dataValidation type="decimal" operator="between" allowBlank="true" showInputMessage="true" showErrorMessage="true" error="Numeric range expected from 0,00 to 999,99" sqref="U266">
      <formula1>0</formula1>
      <formula2>999.99</formula2>
    </dataValidation>
    <dataValidation type="date" operator="between" allowBlank="true" showInputMessage="true" showErrorMessage="true" error="Integer expected with max size 100" sqref="U267">
      <formula1>43101</formula1>
      <formula2>54788</formula2>
    </dataValidation>
    <dataValidation type="decimal" operator="between" allowBlank="true" showInputMessage="true" showErrorMessage="true" error="Numeric range expected from 0,00 to 999,99" sqref="U268">
      <formula1>0</formula1>
      <formula2>999.99</formula2>
    </dataValidation>
    <dataValidation type="whole" operator="between" allowBlank="true" showInputMessage="true" showErrorMessage="true" error="Integer expected with max size 100" sqref="U272">
      <formula1>43101</formula1>
      <formula2>54788</formula2>
    </dataValidation>
    <dataValidation type="decimal" operator="between" allowBlank="true" showInputMessage="true" showErrorMessage="true" error="Numeric range expected from 0,00 to 999,99" sqref="U273">
      <formula1>0</formula1>
      <formula2>999.99</formula2>
    </dataValidation>
    <dataValidation type="date" operator="between" allowBlank="true" showInputMessage="true" showErrorMessage="true" error="Integer expected with max size 100" sqref="U274">
      <formula1>43101</formula1>
      <formula2>54788</formula2>
    </dataValidation>
    <dataValidation type="decimal" operator="between" allowBlank="true" showInputMessage="true" showErrorMessage="true" error="Numeric range expected from 0,00 to 999,99" sqref="U275">
      <formula1>0</formula1>
      <formula2>999.99</formula2>
    </dataValidation>
    <dataValidation type="whole" operator="between" allowBlank="true" showInputMessage="true" showErrorMessage="true" error="Integer expected with max size 100" sqref="U279">
      <formula1>43101</formula1>
      <formula2>54788</formula2>
    </dataValidation>
    <dataValidation type="decimal" operator="between" allowBlank="true" showInputMessage="true" showErrorMessage="true" error="Numeric range expected from 0,00 to 999,99" sqref="U280">
      <formula1>0</formula1>
      <formula2>999.99</formula2>
    </dataValidation>
    <dataValidation type="date" operator="between" allowBlank="true" showInputMessage="true" showErrorMessage="true" error="Integer expected with max size 100" sqref="U281">
      <formula1>43101</formula1>
      <formula2>54788</formula2>
    </dataValidation>
    <dataValidation type="decimal" operator="between" allowBlank="true" showInputMessage="true" showErrorMessage="true" error="Numeric range expected from 0,00 to 999,99" sqref="U282">
      <formula1>0</formula1>
      <formula2>999.99</formula2>
    </dataValidation>
    <dataValidation type="textLength" errorStyle="stop" operator="between" allowBlank="true" showDropDown="false" showInputMessage="true" showErrorMessage="true" prompt="" sqref="V2">
      <formula1>1</formula1>
      <formula2>10000</formula2>
    </dataValidation>
    <dataValidation type="list" operator="between" allowBlank="true" showInputMessage="true" showErrorMessage="true" sqref="V6">
      <formula1>"Mobile,Tablet"</formula1>
    </dataValidation>
    <dataValidation type="textLength" operator="between" allowBlank="true" showInputMessage="true" showErrorMessage="true" errorTitle="Brand name" error="Alphanumeric size from 3 to 50 characters" sqref="V7">
      <formula1>3</formula1>
      <formula2>50</formula2>
    </dataValidation>
    <dataValidation type="textLength" operator="between" allowBlank="true" showInputMessage="true" showErrorMessage="true" errorTitle="GCF Model name" error="Alphanumeric size 64 characters exceeded" sqref="V8">
      <formula1>0</formula1>
      <formula2>64</formula2>
    </dataValidation>
    <dataValidation type="textLength" operator="between" allowBlank="true" showInputMessage="true" showErrorMessage="true" errorTitle="Comments" error="Alphanumeric size 2000 characters exceeded" sqref="V9">
      <formula1>0</formula1>
      <formula2>2000</formula2>
    </dataValidation>
    <dataValidation type="date" operator="between" allowBlank="true" showErrorMessage="true" errorTitle="Marketing samples availability" error="Date expected" sqref="V10">
      <formula1>43101</formula1>
      <formula2>54788</formula2>
    </dataValidation>
    <dataValidation type="date" operator="between" allowBlank="true" showErrorMessage="true" errorTitle="Technical samples availability" error="Date expected" sqref="V11">
      <formula1>43101</formula1>
      <formula2>54788</formula2>
    </dataValidation>
    <dataValidation type="date" operator="between" allowBlank="true" showErrorMessage="true" errorTitle="Expected Generic Street Launch" error="Date expected" sqref="V12">
      <formula1>43101</formula1>
      <formula2>54788</formula2>
    </dataValidation>
    <dataValidation type="date" operator="between" allowBlank="true" showErrorMessage="true" errorTitle="Expected availability warehouse" error="Date expected" sqref="V13">
      <formula1>43101</formula1>
      <formula2>54788</formula2>
    </dataValidation>
    <dataValidation type="date" operator="between" allowBlank="true" showErrorMessage="true" errorTitle="GCF date" error="Date expected" sqref="V14:V15">
      <formula1>43101</formula1>
      <formula2>54788</formula2>
    </dataValidation>
    <dataValidation type="date" operator="between" allowBlank="true" showErrorMessage="true" errorTitle="Wi-Fi alliance date" error="Date expected" sqref="V16">
      <formula1>43101</formula1>
      <formula2>54788</formula2>
    </dataValidation>
    <dataValidation type="list" operator="between" allowBlank="true" showInputMessage="true" showErrorMessage="true" sqref="V17">
      <formula1>"Flagship,Everyday Superphone,Essential Smartphone,Voice,Not applicable"</formula1>
    </dataValidation>
    <dataValidation type="decimal" operator="between" allowBlank="true" showInputMessage="true" showErrorMessage="true" errorTitle="Repairability index" error="Numeric expected with max size 10,00" sqref="V18">
      <formula1>0</formula1>
      <formula2>10</formula2>
    </dataValidation>
    <dataValidation type="textLength" operator="between" allowBlank="true" showInputMessage="true" showErrorMessage="true" errorTitle="Comments" error="Alphanumeric size 2000 characters exceeded" sqref="V19">
      <formula1>0</formula1>
      <formula2>2000</formula2>
    </dataValidation>
    <dataValidation type="textLength" operator="between" allowBlank="true" showInputMessage="true" showErrorMessage="true" errorTitle="Commercial name" error="Alphanumeric size 120 characters exceeded" sqref="V21">
      <formula1>0</formula1>
      <formula2>120</formula2>
    </dataValidation>
    <dataValidation type="textLength" operator="between" allowBlank="true" showInputMessage="true" showErrorMessage="true" errorTitle="Orange Variant name" error="Alphanumeric size 120 characters exceeded" sqref="V22">
      <formula1>0</formula1>
      <formula2>240</formula2>
    </dataValidation>
    <dataValidation type="list" operator="between" allowBlank="true" showInputMessage="true" showErrorMessage="true" sqref="V23">
      <formula1>"ODM - OBD, ODM - Not OBD"</formula1>
    </dataValidation>
    <dataValidation type="list" operator="between" allowBlank="true" showInputMessage="true" showErrorMessage="true" sqref="V24">
      <formula1>"Flagship,Everyday Superphone,Essential Smartphone,Voice,Not applicable"</formula1>
    </dataValidation>
    <dataValidation type="list" operator="between" allowBlank="true" showInputMessage="true" showErrorMessage="true" sqref="V25">
      <formula1>"Essential Smartphone High,Essential Smartphone Entry,Not applicable"</formula1>
    </dataValidation>
    <dataValidation type="list" operator="between" allowBlank="true" showInputMessage="true" showErrorMessage="true" sqref="V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V29">
      <formula1>0</formula1>
      <formula2>50</formula2>
    </dataValidation>
    <dataValidation type="textLength" operator="between" allowBlank="true" showInputMessage="true" showErrorMessage="true" errorTitle="Hardware Platform ref name" error="Alphanumeric size 50 characters exceeded" sqref="V30">
      <formula1>0</formula1>
      <formula2>50</formula2>
    </dataValidation>
    <dataValidation type="list" operator="between" allowBlank="true" showInputMessage="true" showErrorMessage="true" sqref="V31">
      <formula1>='Listes deroulantes'!$U$2:$U$28</formula1>
    </dataValidation>
    <dataValidation type="textLength" operator="between" allowBlank="true" showInputMessage="true" showErrorMessage="true" errorTitle="Baseband chipset name" error="Alphanumeric size 50 characters exceeded" sqref="V32">
      <formula1>0</formula1>
      <formula2>50</formula2>
    </dataValidation>
    <dataValidation type="list" operator="between" allowBlank="true" showInputMessage="true" showErrorMessage="true" sqref="V33">
      <formula1>"0,1,2,3,4,6,8,Others"</formula1>
    </dataValidation>
    <dataValidation type="list" operator="between" allowBlank="true" showInputMessage="true" showErrorMessage="true" sqref="V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V37">
      <formula1>0</formula1>
      <formula2>10</formula2>
    </dataValidation>
    <dataValidation type="textLength" operator="between" allowBlank="true" showInputMessage="true" showErrorMessage="true" errorTitle="Nb of OS Android patch upgrade" error="Integer size 2 characters exceeded" sqref="V38">
      <formula1>0</formula1>
      <formula2>2</formula2>
    </dataValidation>
    <dataValidation type="textLength" operator="between" allowBlank="true" showInputMessage="true" showErrorMessage="true" errorTitle="OS Android patch upgrade (years)" error="Integer size 2 characters exceeded" sqref="V39">
      <formula1>0</formula1>
      <formula2>2</formula2>
    </dataValidation>
    <dataValidation type="list" operator="between" allowBlank="true" showInputMessage="true" showErrorMessage="true" errorTitle="Frequency Android OS security" error="Value not allowed, select value from drop down menu" sqref="V40">
      <formula1>"Monthly,Quarterly,Half-yearly,Yearly"</formula1>
    </dataValidation>
    <dataValidation type="list" operator="between" allowBlank="true" showInputMessage="true" showErrorMessage="true" sqref="V42:V48">
      <formula1>"Yes,No"</formula1>
    </dataValidation>
    <dataValidation type="list" operator="between" allowBlank="true" showInputMessage="true" showErrorMessage="true" sqref="V49">
      <formula1>"FDD,TDD,FDD / TDD"</formula1>
    </dataValidation>
    <dataValidation type="list" operator="between" allowBlank="true" showInputMessage="true" showErrorMessage="true" sqref="V50">
      <formula1>='Listes deroulantes'!$A$2:$A$32</formula1>
    </dataValidation>
    <dataValidation type="list" operator="between" allowBlank="true" showInputMessage="true" showErrorMessage="true" sqref="V51">
      <formula1>='Listes deroulantes'!$E$2:$E$26</formula1>
    </dataValidation>
    <dataValidation type="list" operator="between" allowBlank="true" showInputMessage="true" showErrorMessage="true" sqref="V52">
      <formula1>='Listes deroulantes'!$C$2:$C$23</formula1>
    </dataValidation>
    <dataValidation type="list" operator="between" allowBlank="true" showInputMessage="true" showErrorMessage="true" sqref="V53:V56">
      <formula1>"Yes,No"</formula1>
    </dataValidation>
    <dataValidation type="list" operator="between" allowBlank="true" showInputMessage="true" showErrorMessage="true" sqref="V57">
      <formula1>"No,2x2,4x4,4x2"</formula1>
    </dataValidation>
    <dataValidation type="list" operator="between" allowBlank="true" showInputMessage="true" showErrorMessage="true" sqref="V58">
      <formula1>"No,2x2"</formula1>
    </dataValidation>
    <dataValidation type="list" operator="between" allowBlank="true" showInputMessage="true" showErrorMessage="true" sqref="V59">
      <formula1>"No,2,3,4,5,6,7,8"</formula1>
    </dataValidation>
    <dataValidation type="list" operator="between" allowBlank="true" showInputMessage="true" showErrorMessage="true" sqref="V60">
      <formula1>='Listes deroulantes'!$G$2:$G$5</formula1>
    </dataValidation>
    <dataValidation type="list" operator="between" allowBlank="true" showInputMessage="true" showErrorMessage="true" sqref="V61">
      <formula1>='Listes deroulantes'!$I$2:$I$3</formula1>
    </dataValidation>
    <dataValidation type="list" operator="between" allowBlank="true" showInputMessage="true" showErrorMessage="true" sqref="V62">
      <formula1>='Listes deroulantes'!$K$2:$K$4</formula1>
    </dataValidation>
    <dataValidation type="list" operator="between" allowBlank="true" showInputMessage="true" showErrorMessage="true" sqref="V64:V97">
      <formula1>"Yes,No"</formula1>
    </dataValidation>
    <dataValidation type="list" operator="between" allowBlank="true" showInputMessage="true" showErrorMessage="true" sqref="V98:V99">
      <formula1>='Listes deroulantes'!$I$2:$I$3</formula1>
    </dataValidation>
    <dataValidation type="list" operator="between" allowBlank="true" showInputMessage="true" showErrorMessage="true" sqref="V100">
      <formula1>='Listes deroulantes'!$M$2:$M$18</formula1>
    </dataValidation>
    <dataValidation type="list" operator="between" allowBlank="true" showInputMessage="true" showErrorMessage="true" sqref="V101">
      <formula1>='Listes deroulantes'!$O$2:$O$4</formula1>
    </dataValidation>
    <dataValidation type="decimal" operator="between" allowBlank="true" showInputMessage="true" showErrorMessage="true" errorTitle="Weight (g)" error="numeric format expected - for instance 999,99 maximum - or length characters exceeded" sqref="V103:V106">
      <formula1>0</formula1>
      <formula2>999.99</formula2>
    </dataValidation>
    <dataValidation type="list" operator="between" allowBlank="true" showInputMessage="true" showErrorMessage="true" sqref="V107">
      <formula1>"Bar,Messenger bar,Clamshell,Slide,Touch,Messenger/sliding touch,Other"</formula1>
    </dataValidation>
    <dataValidation type="list" operator="between" allowBlank="true" showInputMessage="true" showErrorMessage="true" sqref="V108:V109">
      <formula1>"Yes,No"</formula1>
    </dataValidation>
    <dataValidation type="list" operator="between" allowBlank="true" showInputMessage="true" showErrorMessage="true" sqref="V110">
      <formula1>"Hard AZERTY/QWERTY,Touch AZERTY/QWERTY,Hard 20 keys,Numeric keypad only	"</formula1>
    </dataValidation>
    <dataValidation type="list" operator="between" allowBlank="true" showInputMessage="true" showErrorMessage="true" sqref="V111">
      <formula1>"Yes,No"</formula1>
    </dataValidation>
    <dataValidation type="list" operator="between" allowBlank="true" showInputMessage="true" showErrorMessage="true" sqref="V112">
      <formula1>"2m,1.8m,1.5m,1.2m,1.0m,&lt;1.0m"</formula1>
    </dataValidation>
    <dataValidation type="list" operator="between" allowBlank="true" showInputMessage="true" showErrorMessage="true" sqref="V113">
      <formula1>"IP52,IP54,IP57,IP58,IP64,IP67,IP68,Not known,Other"</formula1>
    </dataValidation>
    <dataValidation type="list" operator="between" allowBlank="true" showInputMessage="true" showErrorMessage="true" sqref="V114:V115">
      <formula1>"Yes,No"</formula1>
    </dataValidation>
    <dataValidation type="decimal" operator="between" allowBlank="true" showInputMessage="true" showErrorMessage="true" errorTitle="Screen size (in inches) diagonal" error="numeric format expected - for instance 99,99 - or length characters exceeded" sqref="V117">
      <formula1>0</formula1>
      <formula2>99.99</formula2>
    </dataValidation>
    <dataValidation type="whole" operator="between" allowBlank="true" showInputMessage="true" showErrorMessage="true" errorTitle="Width (px)" error="Integer size 4 expected or lenght characters exceeded" sqref="V118">
      <formula1>0</formula1>
      <formula2>9999</formula2>
    </dataValidation>
    <dataValidation type="whole" operator="between" allowBlank="true" showInputMessage="true" showErrorMessage="true" errorTitle="Height (px)" error="Integer size 4 expected or lenght characters exceeded" sqref="V119">
      <formula1>0</formula1>
      <formula2>9999</formula2>
    </dataValidation>
    <dataValidation type="list" operator="between" allowBlank="true" showInputMessage="true" showErrorMessage="true" sqref="V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V121">
      <formula1>0</formula1>
      <formula2>9999</formula2>
    </dataValidation>
    <dataValidation type="textLength" operator="between" allowBlank="true" showInputMessage="true" showErrorMessage="true" errorTitle="Contrast ratio" error="Expected length 0&lt;= value length &lt;51" sqref="V122">
      <formula1>0</formula1>
      <formula2>50</formula2>
    </dataValidation>
    <dataValidation type="textLength" operator="between" allowBlank="true" showInputMessage="true" showErrorMessage="true" errorTitle="Brightness (cd/m2)" error="Expected length 0&lt;= value length &lt;51" sqref="V123">
      <formula1>0</formula1>
      <formula2>50</formula2>
    </dataValidation>
    <dataValidation type="list" operator="between" allowBlank="true" showInputMessage="true" showErrorMessage="true" sqref="V124:V126">
      <formula1>"Yes,No"</formula1>
    </dataValidation>
    <dataValidation type="list" operator="between" allowBlank="true" showInputMessage="true" showErrorMessage="true" sqref="V128">
      <formula1>"Yes,No"</formula1>
    </dataValidation>
    <dataValidation type="list" operator="between" allowBlank="true" showInputMessage="true" showErrorMessage="true" sqref="V129">
      <formula1>"No,2,3,4,5,More"</formula1>
    </dataValidation>
    <dataValidation type="list" operator="between" allowBlank="true" showInputMessage="true" showErrorMessage="true" sqref="V130">
      <formula1>"No,2FF,3FF (MicroSIM),4FF (nano SIM),e-SIM,e-SIM or 4FF (nano SIM)"</formula1>
    </dataValidation>
    <dataValidation type="list" operator="between" allowBlank="true" showInputMessage="true" showErrorMessage="true" sqref="V132">
      <formula1>='Listes deroulantes'!$U$2:$U$28</formula1>
    </dataValidation>
    <dataValidation type="textLength" operator="between" allowBlank="true" showInputMessage="true" showErrorMessage="true" errorTitle="Wi-FI chipset name" error="Alphanumeric size 50 characters exceeded" sqref="V133">
      <formula1>0</formula1>
      <formula2>50</formula2>
    </dataValidation>
    <dataValidation type="list" operator="between" allowBlank="true" showInputMessage="true" showErrorMessage="true" sqref="V134:V148">
      <formula1>"Yes,No"</formula1>
    </dataValidation>
    <dataValidation type="list" operator="between" allowBlank="true" showInputMessage="true" showErrorMessage="true" sqref="V149">
      <formula1>"2x2,4x4,6x6,8x8"</formula1>
    </dataValidation>
    <dataValidation type="list" operator="between" allowBlank="true" showInputMessage="true" showErrorMessage="true" sqref="V150">
      <formula1>='Listes deroulantes'!$V$2:$V$16</formula1>
    </dataValidation>
    <dataValidation type="textLength" operator="between" allowBlank="true" showInputMessage="true" showErrorMessage="true" errorTitle="Bluetooth Profile" error="Alphanumeric size 100 characters exceeded" sqref="V151">
      <formula1>0</formula1>
      <formula2>100</formula2>
    </dataValidation>
    <dataValidation type="list" operator="between" allowBlank="true" showInputMessage="true" showErrorMessage="true" sqref="V152:V154">
      <formula1>"Yes,No"</formula1>
    </dataValidation>
    <dataValidation type="list" operator="between" allowBlank="true" showInputMessage="true" showErrorMessage="true" sqref="V158">
      <formula1>"No,A-GPS,GPS Standalone,GNSS"</formula1>
    </dataValidation>
    <dataValidation type="list" operator="between" allowBlank="true" showInputMessage="true" showErrorMessage="true" sqref="V159">
      <formula1>='Listes deroulantes'!$Q$2:$Q$10</formula1>
    </dataValidation>
    <dataValidation type="list" operator="between" allowBlank="true" showInputMessage="true" showErrorMessage="true" sqref="V160">
      <formula1>='Listes deroulantes'!$W$2:$W$9</formula1>
    </dataValidation>
    <dataValidation type="list" operator="between" allowBlank="true" showInputMessage="true" showErrorMessage="true" sqref="V161:V166">
      <formula1>"Yes,No"</formula1>
    </dataValidation>
    <dataValidation type="list" operator="between" allowBlank="true" showInputMessage="true" showErrorMessage="true" sqref="V168:V172">
      <formula1>"Yes,No"</formula1>
    </dataValidation>
    <dataValidation type="whole" operator="between" allowBlank="true" showInputMessage="true" showErrorMessage="true" errorTitle="Battery capacity (mAh)" error="Integer size 5 expected or lenght characters exceeded" sqref="V176">
      <formula1>0</formula1>
      <formula2>99999</formula2>
    </dataValidation>
    <dataValidation type="list" operator="between" allowBlank="true" showInputMessage="true" showErrorMessage="true" sqref="V177">
      <formula1>"Li-Ion,Li-Poly,Li-Ion-Poly,Li-Technology,NiMH"</formula1>
    </dataValidation>
    <dataValidation type="list" operator="between" allowBlank="true" showInputMessage="true" showErrorMessage="true" sqref="V178">
      <formula1>"Yes,No"</formula1>
    </dataValidation>
    <dataValidation type="list" operator="between" allowBlank="true" showInputMessage="true" showErrorMessage="true" sqref="V179">
      <formula1>"No,Qi,Other"</formula1>
    </dataValidation>
    <dataValidation type="list" operator="between" allowBlank="true" showInputMessage="true" showErrorMessage="true" sqref="V180">
      <formula1>"No,Pump Express,Quick Charge 2.0,Other"</formula1>
    </dataValidation>
    <dataValidation type="list" operator="between" allowBlank="true" showInputMessage="true" showErrorMessage="true" sqref="V182">
      <formula1>"2TB,1TB,512GB,256GB,128GB,64GB,32GB,16GB,8GB,4GB,2GB,1GB,512MB,256MB,128MB"</formula1>
    </dataValidation>
    <dataValidation type="list" operator="between" allowBlank="true" showInputMessage="true" showErrorMessage="true" sqref="V183:V186">
      <formula1>"Yes,No"</formula1>
    </dataValidation>
    <dataValidation type="list" operator="between" allowBlank="true" showErrorMessage="true" sqref="V187">
      <formula1>='Listes deroulantes'!$S$2:$S$28</formula1>
    </dataValidation>
    <dataValidation type="list" operator="between" allowBlank="true" showInputMessage="true" showErrorMessage="true" sqref="V189:V198">
      <formula1>"Yes,No"</formula1>
    </dataValidation>
    <dataValidation type="list" operator="between" allowBlank="true" showInputMessage="true" showErrorMessage="true" sqref="V200:V202">
      <formula1>"Yes,No"</formula1>
    </dataValidation>
    <dataValidation type="list" operator="between" allowBlank="true" showInputMessage="true" showErrorMessage="true" sqref="V203">
      <formula1>"No,Picture Basic,Picture Rich,Video Basic,Video Rich,Megapixel,"</formula1>
    </dataValidation>
    <dataValidation type="list" operator="between" allowBlank="true" showInputMessage="true" showErrorMessage="true" sqref="V204">
      <formula1>"600 kB,300 kB,100 kB,30 kB"</formula1>
    </dataValidation>
    <dataValidation type="list" operator="between" allowBlank="true" showInputMessage="true" showErrorMessage="true" sqref="V205">
      <formula1>"No,Android Messages,OEM native messenger"</formula1>
    </dataValidation>
    <dataValidation type="list" operator="between" allowBlank="true" showInputMessage="true" showErrorMessage="true" sqref="V207">
      <formula1>"No,Integrated,Integrated AND Autofocus"</formula1>
    </dataValidation>
    <dataValidation type="list" operator="between" allowBlank="true" showInputMessage="true" showErrorMessage="true" sqref="V208">
      <formula1>"1,2,3,4,5"</formula1>
    </dataValidation>
    <dataValidation type="decimal" operator="between" allowBlank="true" showInputMessage="true" showErrorMessage="true" errorTitle="Main Camera1 resolution (Mpx)" error="numeric format expected - for instance 999,99 - or length characters exceeded" sqref="V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V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V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V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V213">
      <formula1>0</formula1>
      <formula2>999.99</formula2>
    </dataValidation>
    <dataValidation type="list" operator="between" allowBlank="true" showInputMessage="true" showErrorMessage="true" sqref="V214:V215">
      <formula1>"Yes,No"</formula1>
    </dataValidation>
    <dataValidation type="textLength" operator="between" allowBlank="true" showInputMessage="true" showErrorMessage="true" errorTitle="Main Camera comments" error="Alphanumeric size 500 characters exceeded" sqref="V216">
      <formula1>0</formula1>
      <formula2>500</formula2>
    </dataValidation>
    <dataValidation type="textLength" operator="between" allowBlank="true" showInputMessage="true" showErrorMessage="true" errorTitle="Main Camera Features" error="Alphanumeric size 500 characters exceeded" sqref="V217">
      <formula1>0</formula1>
      <formula2>500</formula2>
    </dataValidation>
    <dataValidation type="textLength" operator="between" allowBlank="true" showInputMessage="true" showErrorMessage="true" errorTitle="Main Camera video" error="Alphanumeric size 500 characters exceeded" sqref="V218">
      <formula1>0</formula1>
      <formula2>500</formula2>
    </dataValidation>
    <dataValidation type="list" operator="between" allowBlank="true" showInputMessage="true" showErrorMessage="true" sqref="V219">
      <formula1>"f/0.30,f/0.60,f/0.70,f/0.75,f/0.80,f/0.85,f/0.90,f/0.95,f/1.0,f/1.1,f/1.2,f/1.3,f/1.4,f/1.5,f/1.6,f/1.7,f/1.8,f/1.9,f/2.0,f/2.1,f/2.2,f/2.3,f/2.4,f/2.5,f/2.8,f/2.9,f/3.0"</formula1>
    </dataValidation>
    <dataValidation type="list" operator="between" allowBlank="true" showInputMessage="true" showErrorMessage="true" sqref="V220">
      <formula1>"Yes,No"</formula1>
    </dataValidation>
    <dataValidation type="list" operator="between" allowBlank="true" showInputMessage="true" showErrorMessage="true" sqref="V221">
      <formula1>"No,LED,2 LED,Xenon,Other"</formula1>
    </dataValidation>
    <dataValidation type="list" operator="between" allowBlank="true" showInputMessage="true" showErrorMessage="true" sqref="V223">
      <formula1>"No,Integrated,Integrated AND Autofocus"</formula1>
    </dataValidation>
    <dataValidation type="list" operator="between" allowBlank="true" showInputMessage="true" showErrorMessage="true" sqref="V224">
      <formula1>"1,2"</formula1>
    </dataValidation>
    <dataValidation type="decimal" operator="between" allowBlank="true" showInputMessage="true" showErrorMessage="true" errorTitle="Selfie Camera1 resolution (Mpx)" error="numeric format expected - for instance 999,99 - or length characters exceeded" sqref="V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V226">
      <formula1>0</formula1>
      <formula2>999.99</formula2>
    </dataValidation>
    <dataValidation type="list" operator="between" allowBlank="true" showInputMessage="true" showErrorMessage="true" sqref="V227:V228">
      <formula1>"Yes,No"</formula1>
    </dataValidation>
    <dataValidation type="textLength" operator="between" allowBlank="true" showInputMessage="true" showErrorMessage="true" errorTitle="Selfie Camera comments" error="Alphanumeric size 500 characters exceeded" sqref="V229">
      <formula1>0</formula1>
      <formula2>500</formula2>
    </dataValidation>
    <dataValidation type="textLength" operator="between" allowBlank="true" showInputMessage="true" showErrorMessage="true" errorTitle="Selfie Camera Features" error="Alphanumeric size 500 characters exceeded" sqref="V230">
      <formula1>0</formula1>
      <formula2>500</formula2>
    </dataValidation>
    <dataValidation type="textLength" operator="between" allowBlank="true" showInputMessage="true" showErrorMessage="true" errorTitle="Selfie Camera video" error="Alphanumeric size 500 characters exceeded" sqref="V231">
      <formula1>0</formula1>
      <formula2>500</formula2>
    </dataValidation>
    <dataValidation type="list" operator="between" allowBlank="true" showInputMessage="true" showErrorMessage="true" sqref="V233:V239">
      <formula1>"Yes,No"</formula1>
    </dataValidation>
    <dataValidation type="list" operator="between" allowBlank="true" showInputMessage="true" showErrorMessage="true" sqref="V241">
      <formula1>"Yes,No"</formula1>
    </dataValidation>
    <dataValidation type="list" operator="between" allowBlank="true" showInputMessage="true" showErrorMessage="true" sqref="V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V244">
      <formula1>0</formula1>
      <formula2>9.99</formula2>
    </dataValidation>
    <dataValidation type="decimal" operator="between" allowBlank="true" showInputMessage="true" showErrorMessage="true" errorTitle="SAR head (Watt/kg)" error="numeric format expected - for instance 9,999 - or length characters exceeded" sqref="V245:V246">
      <formula1>0</formula1>
      <formula2>9.99</formula2>
    </dataValidation>
    <dataValidation type="decimal" operator="between" allowBlank="true" showInputMessage="true" showErrorMessage="true" errorTitle="Production value (kg CO2eq) " error="Numeric expected with max size 99,99" sqref="V249">
      <formula1>0</formula1>
      <formula2>99.99</formula2>
    </dataValidation>
    <dataValidation type="decimal" operator="between" allowBlank="true" showInputMessage="true" showErrorMessage="true" errorTitle="Transportation value (kg CO2eq)" error="Numeric expected with max size 99,99" sqref="V250">
      <formula1>0</formula1>
      <formula2>99.99</formula2>
    </dataValidation>
    <dataValidation type="list" operator="between" allowBlank="true" showInputMessage="true" showErrorMessage="true" error="Integer expected with max size 100" sqref="V252">
      <formula1>"R02,R03,R04,R05"</formula1>
    </dataValidation>
    <dataValidation type="decimal" operator="between" allowBlank="true" showInputMessage="true" showErrorMessage="true" errorTitle="Production value (kg CO2eq) " error="Numeric expected with max size 99,99" sqref="V253">
      <formula1>0</formula1>
      <formula2>99.99</formula2>
    </dataValidation>
    <dataValidation type="decimal" operator="between" allowBlank="true" showInputMessage="true" showErrorMessage="true" errorTitle="Adjustment for memory variant" error="-101&lt;Value expected&lt;101" sqref="V254">
      <formula1>-100.99</formula1>
      <formula2>100.99</formula2>
    </dataValidation>
    <dataValidation type="decimal" operator="between" allowBlank="true" showInputMessage="true" showErrorMessage="true" errorTitle="Transportation value (kg CO2eq)" error="Numeric expected with max size 99,99" sqref="V255">
      <formula1>0</formula1>
      <formula2>99.99</formula2>
    </dataValidation>
    <dataValidation type="decimal" operator="between" allowBlank="true" showInputMessage="true" showErrorMessage="true" errorTitle="Production value (kg CO2eq) " error="Numeric expected with max size 99,99" sqref="V257">
      <formula1>0</formula1>
      <formula2>99.99</formula2>
    </dataValidation>
    <dataValidation type="decimal" operator="between" allowBlank="true" showInputMessage="true" showErrorMessage="true" errorTitle="Adjustment for memory variant" error="-101&lt;Value expected&lt;101" sqref="V258">
      <formula1>-100.99</formula1>
      <formula2>100.99</formula2>
    </dataValidation>
    <dataValidation type="decimal" operator="between" allowBlank="true" showInputMessage="true" showErrorMessage="true" errorTitle="Transportation value (kg CO2eq)" error="Numeric expected with max size 99,99" sqref="V259">
      <formula1>0</formula1>
      <formula2>99.99</formula2>
    </dataValidation>
    <dataValidation type="list" operator="between" allowBlank="true" showInputMessage="true" showErrorMessage="true" sqref="V260">
      <formula1>"World,EU,MEA"</formula1>
    </dataValidation>
    <dataValidation type="whole" operator="between" allowBlank="true" showInputMessage="true" showErrorMessage="true" error="Integer expected with max size 100" sqref="V265">
      <formula1>43101</formula1>
      <formula2>54788</formula2>
    </dataValidation>
    <dataValidation type="decimal" operator="between" allowBlank="true" showInputMessage="true" showErrorMessage="true" error="Numeric range expected from 0,00 to 999,99" sqref="V266">
      <formula1>0</formula1>
      <formula2>999.99</formula2>
    </dataValidation>
    <dataValidation type="date" operator="between" allowBlank="true" showInputMessage="true" showErrorMessage="true" error="Integer expected with max size 100" sqref="V267">
      <formula1>43101</formula1>
      <formula2>54788</formula2>
    </dataValidation>
    <dataValidation type="decimal" operator="between" allowBlank="true" showInputMessage="true" showErrorMessage="true" error="Numeric range expected from 0,00 to 999,99" sqref="V268">
      <formula1>0</formula1>
      <formula2>999.99</formula2>
    </dataValidation>
    <dataValidation type="whole" operator="between" allowBlank="true" showInputMessage="true" showErrorMessage="true" error="Integer expected with max size 100" sqref="V272">
      <formula1>43101</formula1>
      <formula2>54788</formula2>
    </dataValidation>
    <dataValidation type="decimal" operator="between" allowBlank="true" showInputMessage="true" showErrorMessage="true" error="Numeric range expected from 0,00 to 999,99" sqref="V273">
      <formula1>0</formula1>
      <formula2>999.99</formula2>
    </dataValidation>
    <dataValidation type="date" operator="between" allowBlank="true" showInputMessage="true" showErrorMessage="true" error="Integer expected with max size 100" sqref="V274">
      <formula1>43101</formula1>
      <formula2>54788</formula2>
    </dataValidation>
    <dataValidation type="decimal" operator="between" allowBlank="true" showInputMessage="true" showErrorMessage="true" error="Numeric range expected from 0,00 to 999,99" sqref="V275">
      <formula1>0</formula1>
      <formula2>999.99</formula2>
    </dataValidation>
    <dataValidation type="whole" operator="between" allowBlank="true" showInputMessage="true" showErrorMessage="true" error="Integer expected with max size 100" sqref="V279">
      <formula1>43101</formula1>
      <formula2>54788</formula2>
    </dataValidation>
    <dataValidation type="decimal" operator="between" allowBlank="true" showInputMessage="true" showErrorMessage="true" error="Numeric range expected from 0,00 to 999,99" sqref="V280">
      <formula1>0</formula1>
      <formula2>999.99</formula2>
    </dataValidation>
    <dataValidation type="date" operator="between" allowBlank="true" showInputMessage="true" showErrorMessage="true" error="Integer expected with max size 100" sqref="V281">
      <formula1>43101</formula1>
      <formula2>54788</formula2>
    </dataValidation>
    <dataValidation type="decimal" operator="between" allowBlank="true" showInputMessage="true" showErrorMessage="true" error="Numeric range expected from 0,00 to 999,99" sqref="V282">
      <formula1>0</formula1>
      <formula2>999.99</formula2>
    </dataValidation>
    <dataValidation type="textLength" errorStyle="stop" operator="between" allowBlank="true" showDropDown="false" showInputMessage="true" showErrorMessage="true" prompt="" sqref="W2">
      <formula1>1</formula1>
      <formula2>10000</formula2>
    </dataValidation>
    <dataValidation type="list" operator="between" allowBlank="true" showInputMessage="true" showErrorMessage="true" sqref="W6">
      <formula1>"Mobile,Tablet"</formula1>
    </dataValidation>
    <dataValidation type="textLength" operator="between" allowBlank="true" showInputMessage="true" showErrorMessage="true" errorTitle="Brand name" error="Alphanumeric size from 3 to 50 characters" sqref="W7">
      <formula1>3</formula1>
      <formula2>50</formula2>
    </dataValidation>
    <dataValidation type="textLength" operator="between" allowBlank="true" showInputMessage="true" showErrorMessage="true" errorTitle="GCF Model name" error="Alphanumeric size 64 characters exceeded" sqref="W8">
      <formula1>0</formula1>
      <formula2>64</formula2>
    </dataValidation>
    <dataValidation type="textLength" operator="between" allowBlank="true" showInputMessage="true" showErrorMessage="true" errorTitle="Comments" error="Alphanumeric size 2000 characters exceeded" sqref="W9">
      <formula1>0</formula1>
      <formula2>2000</formula2>
    </dataValidation>
    <dataValidation type="date" operator="between" allowBlank="true" showErrorMessage="true" errorTitle="Marketing samples availability" error="Date expected" sqref="W10">
      <formula1>43101</formula1>
      <formula2>54788</formula2>
    </dataValidation>
    <dataValidation type="date" operator="between" allowBlank="true" showErrorMessage="true" errorTitle="Technical samples availability" error="Date expected" sqref="W11">
      <formula1>43101</formula1>
      <formula2>54788</formula2>
    </dataValidation>
    <dataValidation type="date" operator="between" allowBlank="true" showErrorMessage="true" errorTitle="Expected Generic Street Launch" error="Date expected" sqref="W12">
      <formula1>43101</formula1>
      <formula2>54788</formula2>
    </dataValidation>
    <dataValidation type="date" operator="between" allowBlank="true" showErrorMessage="true" errorTitle="Expected availability warehouse" error="Date expected" sqref="W13">
      <formula1>43101</formula1>
      <formula2>54788</formula2>
    </dataValidation>
    <dataValidation type="date" operator="between" allowBlank="true" showErrorMessage="true" errorTitle="GCF date" error="Date expected" sqref="W14:W15">
      <formula1>43101</formula1>
      <formula2>54788</formula2>
    </dataValidation>
    <dataValidation type="date" operator="between" allowBlank="true" showErrorMessage="true" errorTitle="Wi-Fi alliance date" error="Date expected" sqref="W16">
      <formula1>43101</formula1>
      <formula2>54788</formula2>
    </dataValidation>
    <dataValidation type="list" operator="between" allowBlank="true" showInputMessage="true" showErrorMessage="true" sqref="W17">
      <formula1>"Flagship,Everyday Superphone,Essential Smartphone,Voice,Not applicable"</formula1>
    </dataValidation>
    <dataValidation type="decimal" operator="between" allowBlank="true" showInputMessage="true" showErrorMessage="true" errorTitle="Repairability index" error="Numeric expected with max size 10,00" sqref="W18">
      <formula1>0</formula1>
      <formula2>10</formula2>
    </dataValidation>
    <dataValidation type="textLength" operator="between" allowBlank="true" showInputMessage="true" showErrorMessage="true" errorTitle="Comments" error="Alphanumeric size 2000 characters exceeded" sqref="W19">
      <formula1>0</formula1>
      <formula2>2000</formula2>
    </dataValidation>
    <dataValidation type="textLength" operator="between" allowBlank="true" showInputMessage="true" showErrorMessage="true" errorTitle="Commercial name" error="Alphanumeric size 120 characters exceeded" sqref="W21">
      <formula1>0</formula1>
      <formula2>120</formula2>
    </dataValidation>
    <dataValidation type="textLength" operator="between" allowBlank="true" showInputMessage="true" showErrorMessage="true" errorTitle="Orange Variant name" error="Alphanumeric size 120 characters exceeded" sqref="W22">
      <formula1>0</formula1>
      <formula2>240</formula2>
    </dataValidation>
    <dataValidation type="list" operator="between" allowBlank="true" showInputMessage="true" showErrorMessage="true" sqref="W23">
      <formula1>"ODM - OBD, ODM - Not OBD"</formula1>
    </dataValidation>
    <dataValidation type="list" operator="between" allowBlank="true" showInputMessage="true" showErrorMessage="true" sqref="W24">
      <formula1>"Flagship,Everyday Superphone,Essential Smartphone,Voice,Not applicable"</formula1>
    </dataValidation>
    <dataValidation type="list" operator="between" allowBlank="true" showInputMessage="true" showErrorMessage="true" sqref="W25">
      <formula1>"Essential Smartphone High,Essential Smartphone Entry,Not applicable"</formula1>
    </dataValidation>
    <dataValidation type="list" operator="between" allowBlank="true" showInputMessage="true" showErrorMessage="true" sqref="W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W29">
      <formula1>0</formula1>
      <formula2>50</formula2>
    </dataValidation>
    <dataValidation type="textLength" operator="between" allowBlank="true" showInputMessage="true" showErrorMessage="true" errorTitle="Hardware Platform ref name" error="Alphanumeric size 50 characters exceeded" sqref="W30">
      <formula1>0</formula1>
      <formula2>50</formula2>
    </dataValidation>
    <dataValidation type="list" operator="between" allowBlank="true" showInputMessage="true" showErrorMessage="true" sqref="W31">
      <formula1>='Listes deroulantes'!$U$2:$U$28</formula1>
    </dataValidation>
    <dataValidation type="textLength" operator="between" allowBlank="true" showInputMessage="true" showErrorMessage="true" errorTitle="Baseband chipset name" error="Alphanumeric size 50 characters exceeded" sqref="W32">
      <formula1>0</formula1>
      <formula2>50</formula2>
    </dataValidation>
    <dataValidation type="list" operator="between" allowBlank="true" showInputMessage="true" showErrorMessage="true" sqref="W33">
      <formula1>"0,1,2,3,4,6,8,Others"</formula1>
    </dataValidation>
    <dataValidation type="list" operator="between" allowBlank="true" showInputMessage="true" showErrorMessage="true" sqref="W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W37">
      <formula1>0</formula1>
      <formula2>10</formula2>
    </dataValidation>
    <dataValidation type="textLength" operator="between" allowBlank="true" showInputMessage="true" showErrorMessage="true" errorTitle="Nb of OS Android patch upgrade" error="Integer size 2 characters exceeded" sqref="W38">
      <formula1>0</formula1>
      <formula2>2</formula2>
    </dataValidation>
    <dataValidation type="textLength" operator="between" allowBlank="true" showInputMessage="true" showErrorMessage="true" errorTitle="OS Android patch upgrade (years)" error="Integer size 2 characters exceeded" sqref="W39">
      <formula1>0</formula1>
      <formula2>2</formula2>
    </dataValidation>
    <dataValidation type="list" operator="between" allowBlank="true" showInputMessage="true" showErrorMessage="true" errorTitle="Frequency Android OS security" error="Value not allowed, select value from drop down menu" sqref="W40">
      <formula1>"Monthly,Quarterly,Half-yearly,Yearly"</formula1>
    </dataValidation>
    <dataValidation type="list" operator="between" allowBlank="true" showInputMessage="true" showErrorMessage="true" sqref="W42:W48">
      <formula1>"Yes,No"</formula1>
    </dataValidation>
    <dataValidation type="list" operator="between" allowBlank="true" showInputMessage="true" showErrorMessage="true" sqref="W49">
      <formula1>"FDD,TDD,FDD / TDD"</formula1>
    </dataValidation>
    <dataValidation type="list" operator="between" allowBlank="true" showInputMessage="true" showErrorMessage="true" sqref="W50">
      <formula1>='Listes deroulantes'!$A$2:$A$32</formula1>
    </dataValidation>
    <dataValidation type="list" operator="between" allowBlank="true" showInputMessage="true" showErrorMessage="true" sqref="W51">
      <formula1>='Listes deroulantes'!$E$2:$E$26</formula1>
    </dataValidation>
    <dataValidation type="list" operator="between" allowBlank="true" showInputMessage="true" showErrorMessage="true" sqref="W52">
      <formula1>='Listes deroulantes'!$C$2:$C$23</formula1>
    </dataValidation>
    <dataValidation type="list" operator="between" allowBlank="true" showInputMessage="true" showErrorMessage="true" sqref="W53:W56">
      <formula1>"Yes,No"</formula1>
    </dataValidation>
    <dataValidation type="list" operator="between" allowBlank="true" showInputMessage="true" showErrorMessage="true" sqref="W57">
      <formula1>"No,2x2,4x4,4x2"</formula1>
    </dataValidation>
    <dataValidation type="list" operator="between" allowBlank="true" showInputMessage="true" showErrorMessage="true" sqref="W58">
      <formula1>"No,2x2"</formula1>
    </dataValidation>
    <dataValidation type="list" operator="between" allowBlank="true" showInputMessage="true" showErrorMessage="true" sqref="W59">
      <formula1>"No,2,3,4,5,6,7,8"</formula1>
    </dataValidation>
    <dataValidation type="list" operator="between" allowBlank="true" showInputMessage="true" showErrorMessage="true" sqref="W60">
      <formula1>='Listes deroulantes'!$G$2:$G$5</formula1>
    </dataValidation>
    <dataValidation type="list" operator="between" allowBlank="true" showInputMessage="true" showErrorMessage="true" sqref="W61">
      <formula1>='Listes deroulantes'!$I$2:$I$3</formula1>
    </dataValidation>
    <dataValidation type="list" operator="between" allowBlank="true" showInputMessage="true" showErrorMessage="true" sqref="W62">
      <formula1>='Listes deroulantes'!$K$2:$K$4</formula1>
    </dataValidation>
    <dataValidation type="list" operator="between" allowBlank="true" showInputMessage="true" showErrorMessage="true" sqref="W64:W97">
      <formula1>"Yes,No"</formula1>
    </dataValidation>
    <dataValidation type="list" operator="between" allowBlank="true" showInputMessage="true" showErrorMessage="true" sqref="W98:W99">
      <formula1>='Listes deroulantes'!$I$2:$I$3</formula1>
    </dataValidation>
    <dataValidation type="list" operator="between" allowBlank="true" showInputMessage="true" showErrorMessage="true" sqref="W100">
      <formula1>='Listes deroulantes'!$M$2:$M$18</formula1>
    </dataValidation>
    <dataValidation type="list" operator="between" allowBlank="true" showInputMessage="true" showErrorMessage="true" sqref="W101">
      <formula1>='Listes deroulantes'!$O$2:$O$4</formula1>
    </dataValidation>
    <dataValidation type="decimal" operator="between" allowBlank="true" showInputMessage="true" showErrorMessage="true" errorTitle="Weight (g)" error="numeric format expected - for instance 999,99 maximum - or length characters exceeded" sqref="W103:W106">
      <formula1>0</formula1>
      <formula2>999.99</formula2>
    </dataValidation>
    <dataValidation type="list" operator="between" allowBlank="true" showInputMessage="true" showErrorMessage="true" sqref="W107">
      <formula1>"Bar,Messenger bar,Clamshell,Slide,Touch,Messenger/sliding touch,Other"</formula1>
    </dataValidation>
    <dataValidation type="list" operator="between" allowBlank="true" showInputMessage="true" showErrorMessage="true" sqref="W108:W109">
      <formula1>"Yes,No"</formula1>
    </dataValidation>
    <dataValidation type="list" operator="between" allowBlank="true" showInputMessage="true" showErrorMessage="true" sqref="W110">
      <formula1>"Hard AZERTY/QWERTY,Touch AZERTY/QWERTY,Hard 20 keys,Numeric keypad only	"</formula1>
    </dataValidation>
    <dataValidation type="list" operator="between" allowBlank="true" showInputMessage="true" showErrorMessage="true" sqref="W111">
      <formula1>"Yes,No"</formula1>
    </dataValidation>
    <dataValidation type="list" operator="between" allowBlank="true" showInputMessage="true" showErrorMessage="true" sqref="W112">
      <formula1>"2m,1.8m,1.5m,1.2m,1.0m,&lt;1.0m"</formula1>
    </dataValidation>
    <dataValidation type="list" operator="between" allowBlank="true" showInputMessage="true" showErrorMessage="true" sqref="W113">
      <formula1>"IP52,IP54,IP57,IP58,IP64,IP67,IP68,Not known,Other"</formula1>
    </dataValidation>
    <dataValidation type="list" operator="between" allowBlank="true" showInputMessage="true" showErrorMessage="true" sqref="W114:W115">
      <formula1>"Yes,No"</formula1>
    </dataValidation>
    <dataValidation type="decimal" operator="between" allowBlank="true" showInputMessage="true" showErrorMessage="true" errorTitle="Screen size (in inches) diagonal" error="numeric format expected - for instance 99,99 - or length characters exceeded" sqref="W117">
      <formula1>0</formula1>
      <formula2>99.99</formula2>
    </dataValidation>
    <dataValidation type="whole" operator="between" allowBlank="true" showInputMessage="true" showErrorMessage="true" errorTitle="Width (px)" error="Integer size 4 expected or lenght characters exceeded" sqref="W118">
      <formula1>0</formula1>
      <formula2>9999</formula2>
    </dataValidation>
    <dataValidation type="whole" operator="between" allowBlank="true" showInputMessage="true" showErrorMessage="true" errorTitle="Height (px)" error="Integer size 4 expected or lenght characters exceeded" sqref="W119">
      <formula1>0</formula1>
      <formula2>9999</formula2>
    </dataValidation>
    <dataValidation type="list" operator="between" allowBlank="true" showInputMessage="true" showErrorMessage="true" sqref="W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W121">
      <formula1>0</formula1>
      <formula2>9999</formula2>
    </dataValidation>
    <dataValidation type="textLength" operator="between" allowBlank="true" showInputMessage="true" showErrorMessage="true" errorTitle="Contrast ratio" error="Expected length 0&lt;= value length &lt;51" sqref="W122">
      <formula1>0</formula1>
      <formula2>50</formula2>
    </dataValidation>
    <dataValidation type="textLength" operator="between" allowBlank="true" showInputMessage="true" showErrorMessage="true" errorTitle="Brightness (cd/m2)" error="Expected length 0&lt;= value length &lt;51" sqref="W123">
      <formula1>0</formula1>
      <formula2>50</formula2>
    </dataValidation>
    <dataValidation type="list" operator="between" allowBlank="true" showInputMessage="true" showErrorMessage="true" sqref="W124:W126">
      <formula1>"Yes,No"</formula1>
    </dataValidation>
    <dataValidation type="list" operator="between" allowBlank="true" showInputMessage="true" showErrorMessage="true" sqref="W128">
      <formula1>"Yes,No"</formula1>
    </dataValidation>
    <dataValidation type="list" operator="between" allowBlank="true" showInputMessage="true" showErrorMessage="true" sqref="W129">
      <formula1>"No,2,3,4,5,More"</formula1>
    </dataValidation>
    <dataValidation type="list" operator="between" allowBlank="true" showInputMessage="true" showErrorMessage="true" sqref="W130">
      <formula1>"No,2FF,3FF (MicroSIM),4FF (nano SIM),e-SIM,e-SIM or 4FF (nano SIM)"</formula1>
    </dataValidation>
    <dataValidation type="list" operator="between" allowBlank="true" showInputMessage="true" showErrorMessage="true" sqref="W132">
      <formula1>='Listes deroulantes'!$U$2:$U$28</formula1>
    </dataValidation>
    <dataValidation type="textLength" operator="between" allowBlank="true" showInputMessage="true" showErrorMessage="true" errorTitle="Wi-FI chipset name" error="Alphanumeric size 50 characters exceeded" sqref="W133">
      <formula1>0</formula1>
      <formula2>50</formula2>
    </dataValidation>
    <dataValidation type="list" operator="between" allowBlank="true" showInputMessage="true" showErrorMessage="true" sqref="W134:W148">
      <formula1>"Yes,No"</formula1>
    </dataValidation>
    <dataValidation type="list" operator="between" allowBlank="true" showInputMessage="true" showErrorMessage="true" sqref="W149">
      <formula1>"2x2,4x4,6x6,8x8"</formula1>
    </dataValidation>
    <dataValidation type="list" operator="between" allowBlank="true" showInputMessage="true" showErrorMessage="true" sqref="W150">
      <formula1>='Listes deroulantes'!$V$2:$V$16</formula1>
    </dataValidation>
    <dataValidation type="textLength" operator="between" allowBlank="true" showInputMessage="true" showErrorMessage="true" errorTitle="Bluetooth Profile" error="Alphanumeric size 100 characters exceeded" sqref="W151">
      <formula1>0</formula1>
      <formula2>100</formula2>
    </dataValidation>
    <dataValidation type="list" operator="between" allowBlank="true" showInputMessage="true" showErrorMessage="true" sqref="W152:W154">
      <formula1>"Yes,No"</formula1>
    </dataValidation>
    <dataValidation type="list" operator="between" allowBlank="true" showInputMessage="true" showErrorMessage="true" sqref="W158">
      <formula1>"No,A-GPS,GPS Standalone,GNSS"</formula1>
    </dataValidation>
    <dataValidation type="list" operator="between" allowBlank="true" showInputMessage="true" showErrorMessage="true" sqref="W159">
      <formula1>='Listes deroulantes'!$Q$2:$Q$10</formula1>
    </dataValidation>
    <dataValidation type="list" operator="between" allowBlank="true" showInputMessage="true" showErrorMessage="true" sqref="W160">
      <formula1>='Listes deroulantes'!$W$2:$W$9</formula1>
    </dataValidation>
    <dataValidation type="list" operator="between" allowBlank="true" showInputMessage="true" showErrorMessage="true" sqref="W161:W166">
      <formula1>"Yes,No"</formula1>
    </dataValidation>
    <dataValidation type="list" operator="between" allowBlank="true" showInputMessage="true" showErrorMessage="true" sqref="W168:W172">
      <formula1>"Yes,No"</formula1>
    </dataValidation>
    <dataValidation type="whole" operator="between" allowBlank="true" showInputMessage="true" showErrorMessage="true" errorTitle="Battery capacity (mAh)" error="Integer size 5 expected or lenght characters exceeded" sqref="W176">
      <formula1>0</formula1>
      <formula2>99999</formula2>
    </dataValidation>
    <dataValidation type="list" operator="between" allowBlank="true" showInputMessage="true" showErrorMessage="true" sqref="W177">
      <formula1>"Li-Ion,Li-Poly,Li-Ion-Poly,Li-Technology,NiMH"</formula1>
    </dataValidation>
    <dataValidation type="list" operator="between" allowBlank="true" showInputMessage="true" showErrorMessage="true" sqref="W178">
      <formula1>"Yes,No"</formula1>
    </dataValidation>
    <dataValidation type="list" operator="between" allowBlank="true" showInputMessage="true" showErrorMessage="true" sqref="W179">
      <formula1>"No,Qi,Other"</formula1>
    </dataValidation>
    <dataValidation type="list" operator="between" allowBlank="true" showInputMessage="true" showErrorMessage="true" sqref="W180">
      <formula1>"No,Pump Express,Quick Charge 2.0,Other"</formula1>
    </dataValidation>
    <dataValidation type="list" operator="between" allowBlank="true" showInputMessage="true" showErrorMessage="true" sqref="W182">
      <formula1>"2TB,1TB,512GB,256GB,128GB,64GB,32GB,16GB,8GB,4GB,2GB,1GB,512MB,256MB,128MB"</formula1>
    </dataValidation>
    <dataValidation type="list" operator="between" allowBlank="true" showInputMessage="true" showErrorMessage="true" sqref="W183:W186">
      <formula1>"Yes,No"</formula1>
    </dataValidation>
    <dataValidation type="list" operator="between" allowBlank="true" showErrorMessage="true" sqref="W187">
      <formula1>='Listes deroulantes'!$S$2:$S$28</formula1>
    </dataValidation>
    <dataValidation type="list" operator="between" allowBlank="true" showInputMessage="true" showErrorMessage="true" sqref="W189:W198">
      <formula1>"Yes,No"</formula1>
    </dataValidation>
    <dataValidation type="list" operator="between" allowBlank="true" showInputMessage="true" showErrorMessage="true" sqref="W200:W202">
      <formula1>"Yes,No"</formula1>
    </dataValidation>
    <dataValidation type="list" operator="between" allowBlank="true" showInputMessage="true" showErrorMessage="true" sqref="W203">
      <formula1>"No,Picture Basic,Picture Rich,Video Basic,Video Rich,Megapixel,"</formula1>
    </dataValidation>
    <dataValidation type="list" operator="between" allowBlank="true" showInputMessage="true" showErrorMessage="true" sqref="W204">
      <formula1>"600 kB,300 kB,100 kB,30 kB"</formula1>
    </dataValidation>
    <dataValidation type="list" operator="between" allowBlank="true" showInputMessage="true" showErrorMessage="true" sqref="W205">
      <formula1>"No,Android Messages,OEM native messenger"</formula1>
    </dataValidation>
    <dataValidation type="list" operator="between" allowBlank="true" showInputMessage="true" showErrorMessage="true" sqref="W207">
      <formula1>"No,Integrated,Integrated AND Autofocus"</formula1>
    </dataValidation>
    <dataValidation type="list" operator="between" allowBlank="true" showInputMessage="true" showErrorMessage="true" sqref="W208">
      <formula1>"1,2,3,4,5"</formula1>
    </dataValidation>
    <dataValidation type="decimal" operator="between" allowBlank="true" showInputMessage="true" showErrorMessage="true" errorTitle="Main Camera1 resolution (Mpx)" error="numeric format expected - for instance 999,99 - or length characters exceeded" sqref="W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W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W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W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W213">
      <formula1>0</formula1>
      <formula2>999.99</formula2>
    </dataValidation>
    <dataValidation type="list" operator="between" allowBlank="true" showInputMessage="true" showErrorMessage="true" sqref="W214:W215">
      <formula1>"Yes,No"</formula1>
    </dataValidation>
    <dataValidation type="textLength" operator="between" allowBlank="true" showInputMessage="true" showErrorMessage="true" errorTitle="Main Camera comments" error="Alphanumeric size 500 characters exceeded" sqref="W216">
      <formula1>0</formula1>
      <formula2>500</formula2>
    </dataValidation>
    <dataValidation type="textLength" operator="between" allowBlank="true" showInputMessage="true" showErrorMessage="true" errorTitle="Main Camera Features" error="Alphanumeric size 500 characters exceeded" sqref="W217">
      <formula1>0</formula1>
      <formula2>500</formula2>
    </dataValidation>
    <dataValidation type="textLength" operator="between" allowBlank="true" showInputMessage="true" showErrorMessage="true" errorTitle="Main Camera video" error="Alphanumeric size 500 characters exceeded" sqref="W218">
      <formula1>0</formula1>
      <formula2>500</formula2>
    </dataValidation>
    <dataValidation type="list" operator="between" allowBlank="true" showInputMessage="true" showErrorMessage="true" sqref="W219">
      <formula1>"f/0.30,f/0.60,f/0.70,f/0.75,f/0.80,f/0.85,f/0.90,f/0.95,f/1.0,f/1.1,f/1.2,f/1.3,f/1.4,f/1.5,f/1.6,f/1.7,f/1.8,f/1.9,f/2.0,f/2.1,f/2.2,f/2.3,f/2.4,f/2.5,f/2.8,f/2.9,f/3.0"</formula1>
    </dataValidation>
    <dataValidation type="list" operator="between" allowBlank="true" showInputMessage="true" showErrorMessage="true" sqref="W220">
      <formula1>"Yes,No"</formula1>
    </dataValidation>
    <dataValidation type="list" operator="between" allowBlank="true" showInputMessage="true" showErrorMessage="true" sqref="W221">
      <formula1>"No,LED,2 LED,Xenon,Other"</formula1>
    </dataValidation>
    <dataValidation type="list" operator="between" allowBlank="true" showInputMessage="true" showErrorMessage="true" sqref="W223">
      <formula1>"No,Integrated,Integrated AND Autofocus"</formula1>
    </dataValidation>
    <dataValidation type="list" operator="between" allowBlank="true" showInputMessage="true" showErrorMessage="true" sqref="W224">
      <formula1>"1,2"</formula1>
    </dataValidation>
    <dataValidation type="decimal" operator="between" allowBlank="true" showInputMessage="true" showErrorMessage="true" errorTitle="Selfie Camera1 resolution (Mpx)" error="numeric format expected - for instance 999,99 - or length characters exceeded" sqref="W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W226">
      <formula1>0</formula1>
      <formula2>999.99</formula2>
    </dataValidation>
    <dataValidation type="list" operator="between" allowBlank="true" showInputMessage="true" showErrorMessage="true" sqref="W227:W228">
      <formula1>"Yes,No"</formula1>
    </dataValidation>
    <dataValidation type="textLength" operator="between" allowBlank="true" showInputMessage="true" showErrorMessage="true" errorTitle="Selfie Camera comments" error="Alphanumeric size 500 characters exceeded" sqref="W229">
      <formula1>0</formula1>
      <formula2>500</formula2>
    </dataValidation>
    <dataValidation type="textLength" operator="between" allowBlank="true" showInputMessage="true" showErrorMessage="true" errorTitle="Selfie Camera Features" error="Alphanumeric size 500 characters exceeded" sqref="W230">
      <formula1>0</formula1>
      <formula2>500</formula2>
    </dataValidation>
    <dataValidation type="textLength" operator="between" allowBlank="true" showInputMessage="true" showErrorMessage="true" errorTitle="Selfie Camera video" error="Alphanumeric size 500 characters exceeded" sqref="W231">
      <formula1>0</formula1>
      <formula2>500</formula2>
    </dataValidation>
    <dataValidation type="list" operator="between" allowBlank="true" showInputMessage="true" showErrorMessage="true" sqref="W233:W239">
      <formula1>"Yes,No"</formula1>
    </dataValidation>
    <dataValidation type="list" operator="between" allowBlank="true" showInputMessage="true" showErrorMessage="true" sqref="W241">
      <formula1>"Yes,No"</formula1>
    </dataValidation>
    <dataValidation type="list" operator="between" allowBlank="true" showInputMessage="true" showErrorMessage="true" sqref="W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W244">
      <formula1>0</formula1>
      <formula2>9.99</formula2>
    </dataValidation>
    <dataValidation type="decimal" operator="between" allowBlank="true" showInputMessage="true" showErrorMessage="true" errorTitle="SAR head (Watt/kg)" error="numeric format expected - for instance 9,999 - or length characters exceeded" sqref="W245:W246">
      <formula1>0</formula1>
      <formula2>9.99</formula2>
    </dataValidation>
    <dataValidation type="decimal" operator="between" allowBlank="true" showInputMessage="true" showErrorMessage="true" errorTitle="Production value (kg CO2eq) " error="Numeric expected with max size 99,99" sqref="W249">
      <formula1>0</formula1>
      <formula2>99.99</formula2>
    </dataValidation>
    <dataValidation type="decimal" operator="between" allowBlank="true" showInputMessage="true" showErrorMessage="true" errorTitle="Transportation value (kg CO2eq)" error="Numeric expected with max size 99,99" sqref="W250">
      <formula1>0</formula1>
      <formula2>99.99</formula2>
    </dataValidation>
    <dataValidation type="list" operator="between" allowBlank="true" showInputMessage="true" showErrorMessage="true" error="Integer expected with max size 100" sqref="W252">
      <formula1>"R02,R03,R04,R05"</formula1>
    </dataValidation>
    <dataValidation type="decimal" operator="between" allowBlank="true" showInputMessage="true" showErrorMessage="true" errorTitle="Production value (kg CO2eq) " error="Numeric expected with max size 99,99" sqref="W253">
      <formula1>0</formula1>
      <formula2>99.99</formula2>
    </dataValidation>
    <dataValidation type="decimal" operator="between" allowBlank="true" showInputMessage="true" showErrorMessage="true" errorTitle="Adjustment for memory variant" error="-101&lt;Value expected&lt;101" sqref="W254">
      <formula1>-100.99</formula1>
      <formula2>100.99</formula2>
    </dataValidation>
    <dataValidation type="decimal" operator="between" allowBlank="true" showInputMessage="true" showErrorMessage="true" errorTitle="Transportation value (kg CO2eq)" error="Numeric expected with max size 99,99" sqref="W255">
      <formula1>0</formula1>
      <formula2>99.99</formula2>
    </dataValidation>
    <dataValidation type="decimal" operator="between" allowBlank="true" showInputMessage="true" showErrorMessage="true" errorTitle="Production value (kg CO2eq) " error="Numeric expected with max size 99,99" sqref="W257">
      <formula1>0</formula1>
      <formula2>99.99</formula2>
    </dataValidation>
    <dataValidation type="decimal" operator="between" allowBlank="true" showInputMessage="true" showErrorMessage="true" errorTitle="Adjustment for memory variant" error="-101&lt;Value expected&lt;101" sqref="W258">
      <formula1>-100.99</formula1>
      <formula2>100.99</formula2>
    </dataValidation>
    <dataValidation type="decimal" operator="between" allowBlank="true" showInputMessage="true" showErrorMessage="true" errorTitle="Transportation value (kg CO2eq)" error="Numeric expected with max size 99,99" sqref="W259">
      <formula1>0</formula1>
      <formula2>99.99</formula2>
    </dataValidation>
    <dataValidation type="list" operator="between" allowBlank="true" showInputMessage="true" showErrorMessage="true" sqref="W260">
      <formula1>"World,EU,MEA"</formula1>
    </dataValidation>
    <dataValidation type="whole" operator="between" allowBlank="true" showInputMessage="true" showErrorMessage="true" error="Integer expected with max size 100" sqref="W265">
      <formula1>43101</formula1>
      <formula2>54788</formula2>
    </dataValidation>
    <dataValidation type="decimal" operator="between" allowBlank="true" showInputMessage="true" showErrorMessage="true" error="Numeric range expected from 0,00 to 999,99" sqref="W266">
      <formula1>0</formula1>
      <formula2>999.99</formula2>
    </dataValidation>
    <dataValidation type="date" operator="between" allowBlank="true" showInputMessage="true" showErrorMessage="true" error="Integer expected with max size 100" sqref="W267">
      <formula1>43101</formula1>
      <formula2>54788</formula2>
    </dataValidation>
    <dataValidation type="decimal" operator="between" allowBlank="true" showInputMessage="true" showErrorMessage="true" error="Numeric range expected from 0,00 to 999,99" sqref="W268">
      <formula1>0</formula1>
      <formula2>999.99</formula2>
    </dataValidation>
    <dataValidation type="whole" operator="between" allowBlank="true" showInputMessage="true" showErrorMessage="true" error="Integer expected with max size 100" sqref="W272">
      <formula1>43101</formula1>
      <formula2>54788</formula2>
    </dataValidation>
    <dataValidation type="decimal" operator="between" allowBlank="true" showInputMessage="true" showErrorMessage="true" error="Numeric range expected from 0,00 to 999,99" sqref="W273">
      <formula1>0</formula1>
      <formula2>999.99</formula2>
    </dataValidation>
    <dataValidation type="date" operator="between" allowBlank="true" showInputMessage="true" showErrorMessage="true" error="Integer expected with max size 100" sqref="W274">
      <formula1>43101</formula1>
      <formula2>54788</formula2>
    </dataValidation>
    <dataValidation type="decimal" operator="between" allowBlank="true" showInputMessage="true" showErrorMessage="true" error="Numeric range expected from 0,00 to 999,99" sqref="W275">
      <formula1>0</formula1>
      <formula2>999.99</formula2>
    </dataValidation>
    <dataValidation type="whole" operator="between" allowBlank="true" showInputMessage="true" showErrorMessage="true" error="Integer expected with max size 100" sqref="W279">
      <formula1>43101</formula1>
      <formula2>54788</formula2>
    </dataValidation>
    <dataValidation type="decimal" operator="between" allowBlank="true" showInputMessage="true" showErrorMessage="true" error="Numeric range expected from 0,00 to 999,99" sqref="W280">
      <formula1>0</formula1>
      <formula2>999.99</formula2>
    </dataValidation>
    <dataValidation type="date" operator="between" allowBlank="true" showInputMessage="true" showErrorMessage="true" error="Integer expected with max size 100" sqref="W281">
      <formula1>43101</formula1>
      <formula2>54788</formula2>
    </dataValidation>
    <dataValidation type="decimal" operator="between" allowBlank="true" showInputMessage="true" showErrorMessage="true" error="Numeric range expected from 0,00 to 999,99" sqref="W282">
      <formula1>0</formula1>
      <formula2>999.99</formula2>
    </dataValidation>
    <dataValidation type="textLength" errorStyle="stop" operator="between" allowBlank="true" showDropDown="false" showInputMessage="true" showErrorMessage="true" prompt="" sqref="X2">
      <formula1>1</formula1>
      <formula2>10000</formula2>
    </dataValidation>
    <dataValidation type="list" operator="between" allowBlank="true" showInputMessage="true" showErrorMessage="true" sqref="X6">
      <formula1>"Mobile,Tablet"</formula1>
    </dataValidation>
    <dataValidation type="textLength" operator="between" allowBlank="true" showInputMessage="true" showErrorMessage="true" errorTitle="Brand name" error="Alphanumeric size from 3 to 50 characters" sqref="X7">
      <formula1>3</formula1>
      <formula2>50</formula2>
    </dataValidation>
    <dataValidation type="textLength" operator="between" allowBlank="true" showInputMessage="true" showErrorMessage="true" errorTitle="GCF Model name" error="Alphanumeric size 64 characters exceeded" sqref="X8">
      <formula1>0</formula1>
      <formula2>64</formula2>
    </dataValidation>
    <dataValidation type="textLength" operator="between" allowBlank="true" showInputMessage="true" showErrorMessage="true" errorTitle="Comments" error="Alphanumeric size 2000 characters exceeded" sqref="X9">
      <formula1>0</formula1>
      <formula2>2000</formula2>
    </dataValidation>
    <dataValidation type="date" operator="between" allowBlank="true" showErrorMessage="true" errorTitle="Marketing samples availability" error="Date expected" sqref="X10">
      <formula1>43101</formula1>
      <formula2>54788</formula2>
    </dataValidation>
    <dataValidation type="date" operator="between" allowBlank="true" showErrorMessage="true" errorTitle="Technical samples availability" error="Date expected" sqref="X11">
      <formula1>43101</formula1>
      <formula2>54788</formula2>
    </dataValidation>
    <dataValidation type="date" operator="between" allowBlank="true" showErrorMessage="true" errorTitle="Expected Generic Street Launch" error="Date expected" sqref="X12">
      <formula1>43101</formula1>
      <formula2>54788</formula2>
    </dataValidation>
    <dataValidation type="date" operator="between" allowBlank="true" showErrorMessage="true" errorTitle="Expected availability warehouse" error="Date expected" sqref="X13">
      <formula1>43101</formula1>
      <formula2>54788</formula2>
    </dataValidation>
    <dataValidation type="date" operator="between" allowBlank="true" showErrorMessage="true" errorTitle="GCF date" error="Date expected" sqref="X14:X15">
      <formula1>43101</formula1>
      <formula2>54788</formula2>
    </dataValidation>
    <dataValidation type="date" operator="between" allowBlank="true" showErrorMessage="true" errorTitle="Wi-Fi alliance date" error="Date expected" sqref="X16">
      <formula1>43101</formula1>
      <formula2>54788</formula2>
    </dataValidation>
    <dataValidation type="list" operator="between" allowBlank="true" showInputMessage="true" showErrorMessage="true" sqref="X17">
      <formula1>"Flagship,Everyday Superphone,Essential Smartphone,Voice,Not applicable"</formula1>
    </dataValidation>
    <dataValidation type="decimal" operator="between" allowBlank="true" showInputMessage="true" showErrorMessage="true" errorTitle="Repairability index" error="Numeric expected with max size 10,00" sqref="X18">
      <formula1>0</formula1>
      <formula2>10</formula2>
    </dataValidation>
    <dataValidation type="textLength" operator="between" allowBlank="true" showInputMessage="true" showErrorMessage="true" errorTitle="Comments" error="Alphanumeric size 2000 characters exceeded" sqref="X19">
      <formula1>0</formula1>
      <formula2>2000</formula2>
    </dataValidation>
    <dataValidation type="textLength" operator="between" allowBlank="true" showInputMessage="true" showErrorMessage="true" errorTitle="Commercial name" error="Alphanumeric size 120 characters exceeded" sqref="X21">
      <formula1>0</formula1>
      <formula2>120</formula2>
    </dataValidation>
    <dataValidation type="textLength" operator="between" allowBlank="true" showInputMessage="true" showErrorMessage="true" errorTitle="Orange Variant name" error="Alphanumeric size 120 characters exceeded" sqref="X22">
      <formula1>0</formula1>
      <formula2>240</formula2>
    </dataValidation>
    <dataValidation type="list" operator="between" allowBlank="true" showInputMessage="true" showErrorMessage="true" sqref="X23">
      <formula1>"ODM - OBD, ODM - Not OBD"</formula1>
    </dataValidation>
    <dataValidation type="list" operator="between" allowBlank="true" showInputMessage="true" showErrorMessage="true" sqref="X24">
      <formula1>"Flagship,Everyday Superphone,Essential Smartphone,Voice,Not applicable"</formula1>
    </dataValidation>
    <dataValidation type="list" operator="between" allowBlank="true" showInputMessage="true" showErrorMessage="true" sqref="X25">
      <formula1>"Essential Smartphone High,Essential Smartphone Entry,Not applicable"</formula1>
    </dataValidation>
    <dataValidation type="list" operator="between" allowBlank="true" showInputMessage="true" showErrorMessage="true" sqref="X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X29">
      <formula1>0</formula1>
      <formula2>50</formula2>
    </dataValidation>
    <dataValidation type="textLength" operator="between" allowBlank="true" showInputMessage="true" showErrorMessage="true" errorTitle="Hardware Platform ref name" error="Alphanumeric size 50 characters exceeded" sqref="X30">
      <formula1>0</formula1>
      <formula2>50</formula2>
    </dataValidation>
    <dataValidation type="list" operator="between" allowBlank="true" showInputMessage="true" showErrorMessage="true" sqref="X31">
      <formula1>='Listes deroulantes'!$U$2:$U$28</formula1>
    </dataValidation>
    <dataValidation type="textLength" operator="between" allowBlank="true" showInputMessage="true" showErrorMessage="true" errorTitle="Baseband chipset name" error="Alphanumeric size 50 characters exceeded" sqref="X32">
      <formula1>0</formula1>
      <formula2>50</formula2>
    </dataValidation>
    <dataValidation type="list" operator="between" allowBlank="true" showInputMessage="true" showErrorMessage="true" sqref="X33">
      <formula1>"0,1,2,3,4,6,8,Others"</formula1>
    </dataValidation>
    <dataValidation type="list" operator="between" allowBlank="true" showInputMessage="true" showErrorMessage="true" sqref="X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X37">
      <formula1>0</formula1>
      <formula2>10</formula2>
    </dataValidation>
    <dataValidation type="textLength" operator="between" allowBlank="true" showInputMessage="true" showErrorMessage="true" errorTitle="Nb of OS Android patch upgrade" error="Integer size 2 characters exceeded" sqref="X38">
      <formula1>0</formula1>
      <formula2>2</formula2>
    </dataValidation>
    <dataValidation type="textLength" operator="between" allowBlank="true" showInputMessage="true" showErrorMessage="true" errorTitle="OS Android patch upgrade (years)" error="Integer size 2 characters exceeded" sqref="X39">
      <formula1>0</formula1>
      <formula2>2</formula2>
    </dataValidation>
    <dataValidation type="list" operator="between" allowBlank="true" showInputMessage="true" showErrorMessage="true" errorTitle="Frequency Android OS security" error="Value not allowed, select value from drop down menu" sqref="X40">
      <formula1>"Monthly,Quarterly,Half-yearly,Yearly"</formula1>
    </dataValidation>
    <dataValidation type="list" operator="between" allowBlank="true" showInputMessage="true" showErrorMessage="true" sqref="X42:X48">
      <formula1>"Yes,No"</formula1>
    </dataValidation>
    <dataValidation type="list" operator="between" allowBlank="true" showInputMessage="true" showErrorMessage="true" sqref="X49">
      <formula1>"FDD,TDD,FDD / TDD"</formula1>
    </dataValidation>
    <dataValidation type="list" operator="between" allowBlank="true" showInputMessage="true" showErrorMessage="true" sqref="X50">
      <formula1>='Listes deroulantes'!$A$2:$A$32</formula1>
    </dataValidation>
    <dataValidation type="list" operator="between" allowBlank="true" showInputMessage="true" showErrorMessage="true" sqref="X51">
      <formula1>='Listes deroulantes'!$E$2:$E$26</formula1>
    </dataValidation>
    <dataValidation type="list" operator="between" allowBlank="true" showInputMessage="true" showErrorMessage="true" sqref="X52">
      <formula1>='Listes deroulantes'!$C$2:$C$23</formula1>
    </dataValidation>
    <dataValidation type="list" operator="between" allowBlank="true" showInputMessage="true" showErrorMessage="true" sqref="X53:X56">
      <formula1>"Yes,No"</formula1>
    </dataValidation>
    <dataValidation type="list" operator="between" allowBlank="true" showInputMessage="true" showErrorMessage="true" sqref="X57">
      <formula1>"No,2x2,4x4,4x2"</formula1>
    </dataValidation>
    <dataValidation type="list" operator="between" allowBlank="true" showInputMessage="true" showErrorMessage="true" sqref="X58">
      <formula1>"No,2x2"</formula1>
    </dataValidation>
    <dataValidation type="list" operator="between" allowBlank="true" showInputMessage="true" showErrorMessage="true" sqref="X59">
      <formula1>"No,2,3,4,5,6,7,8"</formula1>
    </dataValidation>
    <dataValidation type="list" operator="between" allowBlank="true" showInputMessage="true" showErrorMessage="true" sqref="X60">
      <formula1>='Listes deroulantes'!$G$2:$G$5</formula1>
    </dataValidation>
    <dataValidation type="list" operator="between" allowBlank="true" showInputMessage="true" showErrorMessage="true" sqref="X61">
      <formula1>='Listes deroulantes'!$I$2:$I$3</formula1>
    </dataValidation>
    <dataValidation type="list" operator="between" allowBlank="true" showInputMessage="true" showErrorMessage="true" sqref="X62">
      <formula1>='Listes deroulantes'!$K$2:$K$4</formula1>
    </dataValidation>
    <dataValidation type="list" operator="between" allowBlank="true" showInputMessage="true" showErrorMessage="true" sqref="X64:X97">
      <formula1>"Yes,No"</formula1>
    </dataValidation>
    <dataValidation type="list" operator="between" allowBlank="true" showInputMessage="true" showErrorMessage="true" sqref="X98:X99">
      <formula1>='Listes deroulantes'!$I$2:$I$3</formula1>
    </dataValidation>
    <dataValidation type="list" operator="between" allowBlank="true" showInputMessage="true" showErrorMessage="true" sqref="X100">
      <formula1>='Listes deroulantes'!$M$2:$M$18</formula1>
    </dataValidation>
    <dataValidation type="list" operator="between" allowBlank="true" showInputMessage="true" showErrorMessage="true" sqref="X101">
      <formula1>='Listes deroulantes'!$O$2:$O$4</formula1>
    </dataValidation>
    <dataValidation type="decimal" operator="between" allowBlank="true" showInputMessage="true" showErrorMessage="true" errorTitle="Weight (g)" error="numeric format expected - for instance 999,99 maximum - or length characters exceeded" sqref="X103:X106">
      <formula1>0</formula1>
      <formula2>999.99</formula2>
    </dataValidation>
    <dataValidation type="list" operator="between" allowBlank="true" showInputMessage="true" showErrorMessage="true" sqref="X107">
      <formula1>"Bar,Messenger bar,Clamshell,Slide,Touch,Messenger/sliding touch,Other"</formula1>
    </dataValidation>
    <dataValidation type="list" operator="between" allowBlank="true" showInputMessage="true" showErrorMessage="true" sqref="X108:X109">
      <formula1>"Yes,No"</formula1>
    </dataValidation>
    <dataValidation type="list" operator="between" allowBlank="true" showInputMessage="true" showErrorMessage="true" sqref="X110">
      <formula1>"Hard AZERTY/QWERTY,Touch AZERTY/QWERTY,Hard 20 keys,Numeric keypad only	"</formula1>
    </dataValidation>
    <dataValidation type="list" operator="between" allowBlank="true" showInputMessage="true" showErrorMessage="true" sqref="X111">
      <formula1>"Yes,No"</formula1>
    </dataValidation>
    <dataValidation type="list" operator="between" allowBlank="true" showInputMessage="true" showErrorMessage="true" sqref="X112">
      <formula1>"2m,1.8m,1.5m,1.2m,1.0m,&lt;1.0m"</formula1>
    </dataValidation>
    <dataValidation type="list" operator="between" allowBlank="true" showInputMessage="true" showErrorMessage="true" sqref="X113">
      <formula1>"IP52,IP54,IP57,IP58,IP64,IP67,IP68,Not known,Other"</formula1>
    </dataValidation>
    <dataValidation type="list" operator="between" allowBlank="true" showInputMessage="true" showErrorMessage="true" sqref="X114:X115">
      <formula1>"Yes,No"</formula1>
    </dataValidation>
    <dataValidation type="decimal" operator="between" allowBlank="true" showInputMessage="true" showErrorMessage="true" errorTitle="Screen size (in inches) diagonal" error="numeric format expected - for instance 99,99 - or length characters exceeded" sqref="X117">
      <formula1>0</formula1>
      <formula2>99.99</formula2>
    </dataValidation>
    <dataValidation type="whole" operator="between" allowBlank="true" showInputMessage="true" showErrorMessage="true" errorTitle="Width (px)" error="Integer size 4 expected or lenght characters exceeded" sqref="X118">
      <formula1>0</formula1>
      <formula2>9999</formula2>
    </dataValidation>
    <dataValidation type="whole" operator="between" allowBlank="true" showInputMessage="true" showErrorMessage="true" errorTitle="Height (px)" error="Integer size 4 expected or lenght characters exceeded" sqref="X119">
      <formula1>0</formula1>
      <formula2>9999</formula2>
    </dataValidation>
    <dataValidation type="list" operator="between" allowBlank="true" showInputMessage="true" showErrorMessage="true" sqref="X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X121">
      <formula1>0</formula1>
      <formula2>9999</formula2>
    </dataValidation>
    <dataValidation type="textLength" operator="between" allowBlank="true" showInputMessage="true" showErrorMessage="true" errorTitle="Contrast ratio" error="Expected length 0&lt;= value length &lt;51" sqref="X122">
      <formula1>0</formula1>
      <formula2>50</formula2>
    </dataValidation>
    <dataValidation type="textLength" operator="between" allowBlank="true" showInputMessage="true" showErrorMessage="true" errorTitle="Brightness (cd/m2)" error="Expected length 0&lt;= value length &lt;51" sqref="X123">
      <formula1>0</formula1>
      <formula2>50</formula2>
    </dataValidation>
    <dataValidation type="list" operator="between" allowBlank="true" showInputMessage="true" showErrorMessage="true" sqref="X124:X126">
      <formula1>"Yes,No"</formula1>
    </dataValidation>
    <dataValidation type="list" operator="between" allowBlank="true" showInputMessage="true" showErrorMessage="true" sqref="X128">
      <formula1>"Yes,No"</formula1>
    </dataValidation>
    <dataValidation type="list" operator="between" allowBlank="true" showInputMessage="true" showErrorMessage="true" sqref="X129">
      <formula1>"No,2,3,4,5,More"</formula1>
    </dataValidation>
    <dataValidation type="list" operator="between" allowBlank="true" showInputMessage="true" showErrorMessage="true" sqref="X130">
      <formula1>"No,2FF,3FF (MicroSIM),4FF (nano SIM),e-SIM,e-SIM or 4FF (nano SIM)"</formula1>
    </dataValidation>
    <dataValidation type="list" operator="between" allowBlank="true" showInputMessage="true" showErrorMessage="true" sqref="X132">
      <formula1>='Listes deroulantes'!$U$2:$U$28</formula1>
    </dataValidation>
    <dataValidation type="textLength" operator="between" allowBlank="true" showInputMessage="true" showErrorMessage="true" errorTitle="Wi-FI chipset name" error="Alphanumeric size 50 characters exceeded" sqref="X133">
      <formula1>0</formula1>
      <formula2>50</formula2>
    </dataValidation>
    <dataValidation type="list" operator="between" allowBlank="true" showInputMessage="true" showErrorMessage="true" sqref="X134:X148">
      <formula1>"Yes,No"</formula1>
    </dataValidation>
    <dataValidation type="list" operator="between" allowBlank="true" showInputMessage="true" showErrorMessage="true" sqref="X149">
      <formula1>"2x2,4x4,6x6,8x8"</formula1>
    </dataValidation>
    <dataValidation type="list" operator="between" allowBlank="true" showInputMessage="true" showErrorMessage="true" sqref="X150">
      <formula1>='Listes deroulantes'!$V$2:$V$16</formula1>
    </dataValidation>
    <dataValidation type="textLength" operator="between" allowBlank="true" showInputMessage="true" showErrorMessage="true" errorTitle="Bluetooth Profile" error="Alphanumeric size 100 characters exceeded" sqref="X151">
      <formula1>0</formula1>
      <formula2>100</formula2>
    </dataValidation>
    <dataValidation type="list" operator="between" allowBlank="true" showInputMessage="true" showErrorMessage="true" sqref="X152:X154">
      <formula1>"Yes,No"</formula1>
    </dataValidation>
    <dataValidation type="list" operator="between" allowBlank="true" showInputMessage="true" showErrorMessage="true" sqref="X158">
      <formula1>"No,A-GPS,GPS Standalone,GNSS"</formula1>
    </dataValidation>
    <dataValidation type="list" operator="between" allowBlank="true" showInputMessage="true" showErrorMessage="true" sqref="X159">
      <formula1>='Listes deroulantes'!$Q$2:$Q$10</formula1>
    </dataValidation>
    <dataValidation type="list" operator="between" allowBlank="true" showInputMessage="true" showErrorMessage="true" sqref="X160">
      <formula1>='Listes deroulantes'!$W$2:$W$9</formula1>
    </dataValidation>
    <dataValidation type="list" operator="between" allowBlank="true" showInputMessage="true" showErrorMessage="true" sqref="X161:X166">
      <formula1>"Yes,No"</formula1>
    </dataValidation>
    <dataValidation type="list" operator="between" allowBlank="true" showInputMessage="true" showErrorMessage="true" sqref="X168:X172">
      <formula1>"Yes,No"</formula1>
    </dataValidation>
    <dataValidation type="whole" operator="between" allowBlank="true" showInputMessage="true" showErrorMessage="true" errorTitle="Battery capacity (mAh)" error="Integer size 5 expected or lenght characters exceeded" sqref="X176">
      <formula1>0</formula1>
      <formula2>99999</formula2>
    </dataValidation>
    <dataValidation type="list" operator="between" allowBlank="true" showInputMessage="true" showErrorMessage="true" sqref="X177">
      <formula1>"Li-Ion,Li-Poly,Li-Ion-Poly,Li-Technology,NiMH"</formula1>
    </dataValidation>
    <dataValidation type="list" operator="between" allowBlank="true" showInputMessage="true" showErrorMessage="true" sqref="X178">
      <formula1>"Yes,No"</formula1>
    </dataValidation>
    <dataValidation type="list" operator="between" allowBlank="true" showInputMessage="true" showErrorMessage="true" sqref="X179">
      <formula1>"No,Qi,Other"</formula1>
    </dataValidation>
    <dataValidation type="list" operator="between" allowBlank="true" showInputMessage="true" showErrorMessage="true" sqref="X180">
      <formula1>"No,Pump Express,Quick Charge 2.0,Other"</formula1>
    </dataValidation>
    <dataValidation type="list" operator="between" allowBlank="true" showInputMessage="true" showErrorMessage="true" sqref="X182">
      <formula1>"2TB,1TB,512GB,256GB,128GB,64GB,32GB,16GB,8GB,4GB,2GB,1GB,512MB,256MB,128MB"</formula1>
    </dataValidation>
    <dataValidation type="list" operator="between" allowBlank="true" showInputMessage="true" showErrorMessage="true" sqref="X183:X186">
      <formula1>"Yes,No"</formula1>
    </dataValidation>
    <dataValidation type="list" operator="between" allowBlank="true" showErrorMessage="true" sqref="X187">
      <formula1>='Listes deroulantes'!$S$2:$S$28</formula1>
    </dataValidation>
    <dataValidation type="list" operator="between" allowBlank="true" showInputMessage="true" showErrorMessage="true" sqref="X189:X198">
      <formula1>"Yes,No"</formula1>
    </dataValidation>
    <dataValidation type="list" operator="between" allowBlank="true" showInputMessage="true" showErrorMessage="true" sqref="X200:X202">
      <formula1>"Yes,No"</formula1>
    </dataValidation>
    <dataValidation type="list" operator="between" allowBlank="true" showInputMessage="true" showErrorMessage="true" sqref="X203">
      <formula1>"No,Picture Basic,Picture Rich,Video Basic,Video Rich,Megapixel,"</formula1>
    </dataValidation>
    <dataValidation type="list" operator="between" allowBlank="true" showInputMessage="true" showErrorMessage="true" sqref="X204">
      <formula1>"600 kB,300 kB,100 kB,30 kB"</formula1>
    </dataValidation>
    <dataValidation type="list" operator="between" allowBlank="true" showInputMessage="true" showErrorMessage="true" sqref="X205">
      <formula1>"No,Android Messages,OEM native messenger"</formula1>
    </dataValidation>
    <dataValidation type="list" operator="between" allowBlank="true" showInputMessage="true" showErrorMessage="true" sqref="X207">
      <formula1>"No,Integrated,Integrated AND Autofocus"</formula1>
    </dataValidation>
    <dataValidation type="list" operator="between" allowBlank="true" showInputMessage="true" showErrorMessage="true" sqref="X208">
      <formula1>"1,2,3,4,5"</formula1>
    </dataValidation>
    <dataValidation type="decimal" operator="between" allowBlank="true" showInputMessage="true" showErrorMessage="true" errorTitle="Main Camera1 resolution (Mpx)" error="numeric format expected - for instance 999,99 - or length characters exceeded" sqref="X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X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X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X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X213">
      <formula1>0</formula1>
      <formula2>999.99</formula2>
    </dataValidation>
    <dataValidation type="list" operator="between" allowBlank="true" showInputMessage="true" showErrorMessage="true" sqref="X214:X215">
      <formula1>"Yes,No"</formula1>
    </dataValidation>
    <dataValidation type="textLength" operator="between" allowBlank="true" showInputMessage="true" showErrorMessage="true" errorTitle="Main Camera comments" error="Alphanumeric size 500 characters exceeded" sqref="X216">
      <formula1>0</formula1>
      <formula2>500</formula2>
    </dataValidation>
    <dataValidation type="textLength" operator="between" allowBlank="true" showInputMessage="true" showErrorMessage="true" errorTitle="Main Camera Features" error="Alphanumeric size 500 characters exceeded" sqref="X217">
      <formula1>0</formula1>
      <formula2>500</formula2>
    </dataValidation>
    <dataValidation type="textLength" operator="between" allowBlank="true" showInputMessage="true" showErrorMessage="true" errorTitle="Main Camera video" error="Alphanumeric size 500 characters exceeded" sqref="X218">
      <formula1>0</formula1>
      <formula2>500</formula2>
    </dataValidation>
    <dataValidation type="list" operator="between" allowBlank="true" showInputMessage="true" showErrorMessage="true" sqref="X219">
      <formula1>"f/0.30,f/0.60,f/0.70,f/0.75,f/0.80,f/0.85,f/0.90,f/0.95,f/1.0,f/1.1,f/1.2,f/1.3,f/1.4,f/1.5,f/1.6,f/1.7,f/1.8,f/1.9,f/2.0,f/2.1,f/2.2,f/2.3,f/2.4,f/2.5,f/2.8,f/2.9,f/3.0"</formula1>
    </dataValidation>
    <dataValidation type="list" operator="between" allowBlank="true" showInputMessage="true" showErrorMessage="true" sqref="X220">
      <formula1>"Yes,No"</formula1>
    </dataValidation>
    <dataValidation type="list" operator="between" allowBlank="true" showInputMessage="true" showErrorMessage="true" sqref="X221">
      <formula1>"No,LED,2 LED,Xenon,Other"</formula1>
    </dataValidation>
    <dataValidation type="list" operator="between" allowBlank="true" showInputMessage="true" showErrorMessage="true" sqref="X223">
      <formula1>"No,Integrated,Integrated AND Autofocus"</formula1>
    </dataValidation>
    <dataValidation type="list" operator="between" allowBlank="true" showInputMessage="true" showErrorMessage="true" sqref="X224">
      <formula1>"1,2"</formula1>
    </dataValidation>
    <dataValidation type="decimal" operator="between" allowBlank="true" showInputMessage="true" showErrorMessage="true" errorTitle="Selfie Camera1 resolution (Mpx)" error="numeric format expected - for instance 999,99 - or length characters exceeded" sqref="X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X226">
      <formula1>0</formula1>
      <formula2>999.99</formula2>
    </dataValidation>
    <dataValidation type="list" operator="between" allowBlank="true" showInputMessage="true" showErrorMessage="true" sqref="X227:X228">
      <formula1>"Yes,No"</formula1>
    </dataValidation>
    <dataValidation type="textLength" operator="between" allowBlank="true" showInputMessage="true" showErrorMessage="true" errorTitle="Selfie Camera comments" error="Alphanumeric size 500 characters exceeded" sqref="X229">
      <formula1>0</formula1>
      <formula2>500</formula2>
    </dataValidation>
    <dataValidation type="textLength" operator="between" allowBlank="true" showInputMessage="true" showErrorMessage="true" errorTitle="Selfie Camera Features" error="Alphanumeric size 500 characters exceeded" sqref="X230">
      <formula1>0</formula1>
      <formula2>500</formula2>
    </dataValidation>
    <dataValidation type="textLength" operator="between" allowBlank="true" showInputMessage="true" showErrorMessage="true" errorTitle="Selfie Camera video" error="Alphanumeric size 500 characters exceeded" sqref="X231">
      <formula1>0</formula1>
      <formula2>500</formula2>
    </dataValidation>
    <dataValidation type="list" operator="between" allowBlank="true" showInputMessage="true" showErrorMessage="true" sqref="X233:X239">
      <formula1>"Yes,No"</formula1>
    </dataValidation>
    <dataValidation type="list" operator="between" allowBlank="true" showInputMessage="true" showErrorMessage="true" sqref="X241">
      <formula1>"Yes,No"</formula1>
    </dataValidation>
    <dataValidation type="list" operator="between" allowBlank="true" showInputMessage="true" showErrorMessage="true" sqref="X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X244">
      <formula1>0</formula1>
      <formula2>9.99</formula2>
    </dataValidation>
    <dataValidation type="decimal" operator="between" allowBlank="true" showInputMessage="true" showErrorMessage="true" errorTitle="SAR head (Watt/kg)" error="numeric format expected - for instance 9,999 - or length characters exceeded" sqref="X245:X246">
      <formula1>0</formula1>
      <formula2>9.99</formula2>
    </dataValidation>
    <dataValidation type="decimal" operator="between" allowBlank="true" showInputMessage="true" showErrorMessage="true" errorTitle="Production value (kg CO2eq) " error="Numeric expected with max size 99,99" sqref="X249">
      <formula1>0</formula1>
      <formula2>99.99</formula2>
    </dataValidation>
    <dataValidation type="decimal" operator="between" allowBlank="true" showInputMessage="true" showErrorMessage="true" errorTitle="Transportation value (kg CO2eq)" error="Numeric expected with max size 99,99" sqref="X250">
      <formula1>0</formula1>
      <formula2>99.99</formula2>
    </dataValidation>
    <dataValidation type="list" operator="between" allowBlank="true" showInputMessage="true" showErrorMessage="true" error="Integer expected with max size 100" sqref="X252">
      <formula1>"R02,R03,R04,R05"</formula1>
    </dataValidation>
    <dataValidation type="decimal" operator="between" allowBlank="true" showInputMessage="true" showErrorMessage="true" errorTitle="Production value (kg CO2eq) " error="Numeric expected with max size 99,99" sqref="X253">
      <formula1>0</formula1>
      <formula2>99.99</formula2>
    </dataValidation>
    <dataValidation type="decimal" operator="between" allowBlank="true" showInputMessage="true" showErrorMessage="true" errorTitle="Adjustment for memory variant" error="-101&lt;Value expected&lt;101" sqref="X254">
      <formula1>-100.99</formula1>
      <formula2>100.99</formula2>
    </dataValidation>
    <dataValidation type="decimal" operator="between" allowBlank="true" showInputMessage="true" showErrorMessage="true" errorTitle="Transportation value (kg CO2eq)" error="Numeric expected with max size 99,99" sqref="X255">
      <formula1>0</formula1>
      <formula2>99.99</formula2>
    </dataValidation>
    <dataValidation type="decimal" operator="between" allowBlank="true" showInputMessage="true" showErrorMessage="true" errorTitle="Production value (kg CO2eq) " error="Numeric expected with max size 99,99" sqref="X257">
      <formula1>0</formula1>
      <formula2>99.99</formula2>
    </dataValidation>
    <dataValidation type="decimal" operator="between" allowBlank="true" showInputMessage="true" showErrorMessage="true" errorTitle="Adjustment for memory variant" error="-101&lt;Value expected&lt;101" sqref="X258">
      <formula1>-100.99</formula1>
      <formula2>100.99</formula2>
    </dataValidation>
    <dataValidation type="decimal" operator="between" allowBlank="true" showInputMessage="true" showErrorMessage="true" errorTitle="Transportation value (kg CO2eq)" error="Numeric expected with max size 99,99" sqref="X259">
      <formula1>0</formula1>
      <formula2>99.99</formula2>
    </dataValidation>
    <dataValidation type="list" operator="between" allowBlank="true" showInputMessage="true" showErrorMessage="true" sqref="X260">
      <formula1>"World,EU,MEA"</formula1>
    </dataValidation>
    <dataValidation type="whole" operator="between" allowBlank="true" showInputMessage="true" showErrorMessage="true" error="Integer expected with max size 100" sqref="X265">
      <formula1>43101</formula1>
      <formula2>54788</formula2>
    </dataValidation>
    <dataValidation type="decimal" operator="between" allowBlank="true" showInputMessage="true" showErrorMessage="true" error="Numeric range expected from 0,00 to 999,99" sqref="X266">
      <formula1>0</formula1>
      <formula2>999.99</formula2>
    </dataValidation>
    <dataValidation type="date" operator="between" allowBlank="true" showInputMessage="true" showErrorMessage="true" error="Integer expected with max size 100" sqref="X267">
      <formula1>43101</formula1>
      <formula2>54788</formula2>
    </dataValidation>
    <dataValidation type="decimal" operator="between" allowBlank="true" showInputMessage="true" showErrorMessage="true" error="Numeric range expected from 0,00 to 999,99" sqref="X268">
      <formula1>0</formula1>
      <formula2>999.99</formula2>
    </dataValidation>
    <dataValidation type="whole" operator="between" allowBlank="true" showInputMessage="true" showErrorMessage="true" error="Integer expected with max size 100" sqref="X272">
      <formula1>43101</formula1>
      <formula2>54788</formula2>
    </dataValidation>
    <dataValidation type="decimal" operator="between" allowBlank="true" showInputMessage="true" showErrorMessage="true" error="Numeric range expected from 0,00 to 999,99" sqref="X273">
      <formula1>0</formula1>
      <formula2>999.99</formula2>
    </dataValidation>
    <dataValidation type="date" operator="between" allowBlank="true" showInputMessage="true" showErrorMessage="true" error="Integer expected with max size 100" sqref="X274">
      <formula1>43101</formula1>
      <formula2>54788</formula2>
    </dataValidation>
    <dataValidation type="decimal" operator="between" allowBlank="true" showInputMessage="true" showErrorMessage="true" error="Numeric range expected from 0,00 to 999,99" sqref="X275">
      <formula1>0</formula1>
      <formula2>999.99</formula2>
    </dataValidation>
    <dataValidation type="whole" operator="between" allowBlank="true" showInputMessage="true" showErrorMessage="true" error="Integer expected with max size 100" sqref="X279">
      <formula1>43101</formula1>
      <formula2>54788</formula2>
    </dataValidation>
    <dataValidation type="decimal" operator="between" allowBlank="true" showInputMessage="true" showErrorMessage="true" error="Numeric range expected from 0,00 to 999,99" sqref="X280">
      <formula1>0</formula1>
      <formula2>999.99</formula2>
    </dataValidation>
    <dataValidation type="date" operator="between" allowBlank="true" showInputMessage="true" showErrorMessage="true" error="Integer expected with max size 100" sqref="X281">
      <formula1>43101</formula1>
      <formula2>54788</formula2>
    </dataValidation>
    <dataValidation type="decimal" operator="between" allowBlank="true" showInputMessage="true" showErrorMessage="true" error="Numeric range expected from 0,00 to 999,99" sqref="X282">
      <formula1>0</formula1>
      <formula2>999.99</formula2>
    </dataValidation>
    <dataValidation type="textLength" errorStyle="stop" operator="between" allowBlank="true" showDropDown="false" showInputMessage="true" showErrorMessage="true" prompt="" sqref="Y2">
      <formula1>1</formula1>
      <formula2>10000</formula2>
    </dataValidation>
    <dataValidation type="list" operator="between" allowBlank="true" showInputMessage="true" showErrorMessage="true" sqref="Y6">
      <formula1>"Mobile,Tablet"</formula1>
    </dataValidation>
    <dataValidation type="textLength" operator="between" allowBlank="true" showInputMessage="true" showErrorMessage="true" errorTitle="Brand name" error="Alphanumeric size from 3 to 50 characters" sqref="Y7">
      <formula1>3</formula1>
      <formula2>50</formula2>
    </dataValidation>
    <dataValidation type="textLength" operator="between" allowBlank="true" showInputMessage="true" showErrorMessage="true" errorTitle="GCF Model name" error="Alphanumeric size 64 characters exceeded" sqref="Y8">
      <formula1>0</formula1>
      <formula2>64</formula2>
    </dataValidation>
    <dataValidation type="textLength" operator="between" allowBlank="true" showInputMessage="true" showErrorMessage="true" errorTitle="Comments" error="Alphanumeric size 2000 characters exceeded" sqref="Y9">
      <formula1>0</formula1>
      <formula2>2000</formula2>
    </dataValidation>
    <dataValidation type="date" operator="between" allowBlank="true" showErrorMessage="true" errorTitle="Marketing samples availability" error="Date expected" sqref="Y10">
      <formula1>43101</formula1>
      <formula2>54788</formula2>
    </dataValidation>
    <dataValidation type="date" operator="between" allowBlank="true" showErrorMessage="true" errorTitle="Technical samples availability" error="Date expected" sqref="Y11">
      <formula1>43101</formula1>
      <formula2>54788</formula2>
    </dataValidation>
    <dataValidation type="date" operator="between" allowBlank="true" showErrorMessage="true" errorTitle="Expected Generic Street Launch" error="Date expected" sqref="Y12">
      <formula1>43101</formula1>
      <formula2>54788</formula2>
    </dataValidation>
    <dataValidation type="date" operator="between" allowBlank="true" showErrorMessage="true" errorTitle="Expected availability warehouse" error="Date expected" sqref="Y13">
      <formula1>43101</formula1>
      <formula2>54788</formula2>
    </dataValidation>
    <dataValidation type="date" operator="between" allowBlank="true" showErrorMessage="true" errorTitle="GCF date" error="Date expected" sqref="Y14:Y15">
      <formula1>43101</formula1>
      <formula2>54788</formula2>
    </dataValidation>
    <dataValidation type="date" operator="between" allowBlank="true" showErrorMessage="true" errorTitle="Wi-Fi alliance date" error="Date expected" sqref="Y16">
      <formula1>43101</formula1>
      <formula2>54788</formula2>
    </dataValidation>
    <dataValidation type="list" operator="between" allowBlank="true" showInputMessage="true" showErrorMessage="true" sqref="Y17">
      <formula1>"Flagship,Everyday Superphone,Essential Smartphone,Voice,Not applicable"</formula1>
    </dataValidation>
    <dataValidation type="decimal" operator="between" allowBlank="true" showInputMessage="true" showErrorMessage="true" errorTitle="Repairability index" error="Numeric expected with max size 10,00" sqref="Y18">
      <formula1>0</formula1>
      <formula2>10</formula2>
    </dataValidation>
    <dataValidation type="textLength" operator="between" allowBlank="true" showInputMessage="true" showErrorMessage="true" errorTitle="Comments" error="Alphanumeric size 2000 characters exceeded" sqref="Y19">
      <formula1>0</formula1>
      <formula2>2000</formula2>
    </dataValidation>
    <dataValidation type="textLength" operator="between" allowBlank="true" showInputMessage="true" showErrorMessage="true" errorTitle="Commercial name" error="Alphanumeric size 120 characters exceeded" sqref="Y21">
      <formula1>0</formula1>
      <formula2>120</formula2>
    </dataValidation>
    <dataValidation type="textLength" operator="between" allowBlank="true" showInputMessage="true" showErrorMessage="true" errorTitle="Orange Variant name" error="Alphanumeric size 120 characters exceeded" sqref="Y22">
      <formula1>0</formula1>
      <formula2>240</formula2>
    </dataValidation>
    <dataValidation type="list" operator="between" allowBlank="true" showInputMessage="true" showErrorMessage="true" sqref="Y23">
      <formula1>"ODM - OBD, ODM - Not OBD"</formula1>
    </dataValidation>
    <dataValidation type="list" operator="between" allowBlank="true" showInputMessage="true" showErrorMessage="true" sqref="Y24">
      <formula1>"Flagship,Everyday Superphone,Essential Smartphone,Voice,Not applicable"</formula1>
    </dataValidation>
    <dataValidation type="list" operator="between" allowBlank="true" showInputMessage="true" showErrorMessage="true" sqref="Y25">
      <formula1>"Essential Smartphone High,Essential Smartphone Entry,Not applicable"</formula1>
    </dataValidation>
    <dataValidation type="list" operator="between" allowBlank="true" showInputMessage="true" showErrorMessage="true" sqref="Y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Y29">
      <formula1>0</formula1>
      <formula2>50</formula2>
    </dataValidation>
    <dataValidation type="textLength" operator="between" allowBlank="true" showInputMessage="true" showErrorMessage="true" errorTitle="Hardware Platform ref name" error="Alphanumeric size 50 characters exceeded" sqref="Y30">
      <formula1>0</formula1>
      <formula2>50</formula2>
    </dataValidation>
    <dataValidation type="list" operator="between" allowBlank="true" showInputMessage="true" showErrorMessage="true" sqref="Y31">
      <formula1>='Listes deroulantes'!$U$2:$U$28</formula1>
    </dataValidation>
    <dataValidation type="textLength" operator="between" allowBlank="true" showInputMessage="true" showErrorMessage="true" errorTitle="Baseband chipset name" error="Alphanumeric size 50 characters exceeded" sqref="Y32">
      <formula1>0</formula1>
      <formula2>50</formula2>
    </dataValidation>
    <dataValidation type="list" operator="between" allowBlank="true" showInputMessage="true" showErrorMessage="true" sqref="Y33">
      <formula1>"0,1,2,3,4,6,8,Others"</formula1>
    </dataValidation>
    <dataValidation type="list" operator="between" allowBlank="true" showInputMessage="true" showErrorMessage="true" sqref="Y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Y37">
      <formula1>0</formula1>
      <formula2>10</formula2>
    </dataValidation>
    <dataValidation type="textLength" operator="between" allowBlank="true" showInputMessage="true" showErrorMessage="true" errorTitle="Nb of OS Android patch upgrade" error="Integer size 2 characters exceeded" sqref="Y38">
      <formula1>0</formula1>
      <formula2>2</formula2>
    </dataValidation>
    <dataValidation type="textLength" operator="between" allowBlank="true" showInputMessage="true" showErrorMessage="true" errorTitle="OS Android patch upgrade (years)" error="Integer size 2 characters exceeded" sqref="Y39">
      <formula1>0</formula1>
      <formula2>2</formula2>
    </dataValidation>
    <dataValidation type="list" operator="between" allowBlank="true" showInputMessage="true" showErrorMessage="true" errorTitle="Frequency Android OS security" error="Value not allowed, select value from drop down menu" sqref="Y40">
      <formula1>"Monthly,Quarterly,Half-yearly,Yearly"</formula1>
    </dataValidation>
    <dataValidation type="list" operator="between" allowBlank="true" showInputMessage="true" showErrorMessage="true" sqref="Y42:Y48">
      <formula1>"Yes,No"</formula1>
    </dataValidation>
    <dataValidation type="list" operator="between" allowBlank="true" showInputMessage="true" showErrorMessage="true" sqref="Y49">
      <formula1>"FDD,TDD,FDD / TDD"</formula1>
    </dataValidation>
    <dataValidation type="list" operator="between" allowBlank="true" showInputMessage="true" showErrorMessage="true" sqref="Y50">
      <formula1>='Listes deroulantes'!$A$2:$A$32</formula1>
    </dataValidation>
    <dataValidation type="list" operator="between" allowBlank="true" showInputMessage="true" showErrorMessage="true" sqref="Y51">
      <formula1>='Listes deroulantes'!$E$2:$E$26</formula1>
    </dataValidation>
    <dataValidation type="list" operator="between" allowBlank="true" showInputMessage="true" showErrorMessage="true" sqref="Y52">
      <formula1>='Listes deroulantes'!$C$2:$C$23</formula1>
    </dataValidation>
    <dataValidation type="list" operator="between" allowBlank="true" showInputMessage="true" showErrorMessage="true" sqref="Y53:Y56">
      <formula1>"Yes,No"</formula1>
    </dataValidation>
    <dataValidation type="list" operator="between" allowBlank="true" showInputMessage="true" showErrorMessage="true" sqref="Y57">
      <formula1>"No,2x2,4x4,4x2"</formula1>
    </dataValidation>
    <dataValidation type="list" operator="between" allowBlank="true" showInputMessage="true" showErrorMessage="true" sqref="Y58">
      <formula1>"No,2x2"</formula1>
    </dataValidation>
    <dataValidation type="list" operator="between" allowBlank="true" showInputMessage="true" showErrorMessage="true" sqref="Y59">
      <formula1>"No,2,3,4,5,6,7,8"</formula1>
    </dataValidation>
    <dataValidation type="list" operator="between" allowBlank="true" showInputMessage="true" showErrorMessage="true" sqref="Y60">
      <formula1>='Listes deroulantes'!$G$2:$G$5</formula1>
    </dataValidation>
    <dataValidation type="list" operator="between" allowBlank="true" showInputMessage="true" showErrorMessage="true" sqref="Y61">
      <formula1>='Listes deroulantes'!$I$2:$I$3</formula1>
    </dataValidation>
    <dataValidation type="list" operator="between" allowBlank="true" showInputMessage="true" showErrorMessage="true" sqref="Y62">
      <formula1>='Listes deroulantes'!$K$2:$K$4</formula1>
    </dataValidation>
    <dataValidation type="list" operator="between" allowBlank="true" showInputMessage="true" showErrorMessage="true" sqref="Y64:Y97">
      <formula1>"Yes,No"</formula1>
    </dataValidation>
    <dataValidation type="list" operator="between" allowBlank="true" showInputMessage="true" showErrorMessage="true" sqref="Y98:Y99">
      <formula1>='Listes deroulantes'!$I$2:$I$3</formula1>
    </dataValidation>
    <dataValidation type="list" operator="between" allowBlank="true" showInputMessage="true" showErrorMessage="true" sqref="Y100">
      <formula1>='Listes deroulantes'!$M$2:$M$18</formula1>
    </dataValidation>
    <dataValidation type="list" operator="between" allowBlank="true" showInputMessage="true" showErrorMessage="true" sqref="Y101">
      <formula1>='Listes deroulantes'!$O$2:$O$4</formula1>
    </dataValidation>
    <dataValidation type="decimal" operator="between" allowBlank="true" showInputMessage="true" showErrorMessage="true" errorTitle="Weight (g)" error="numeric format expected - for instance 999,99 maximum - or length characters exceeded" sqref="Y103:Y106">
      <formula1>0</formula1>
      <formula2>999.99</formula2>
    </dataValidation>
    <dataValidation type="list" operator="between" allowBlank="true" showInputMessage="true" showErrorMessage="true" sqref="Y107">
      <formula1>"Bar,Messenger bar,Clamshell,Slide,Touch,Messenger/sliding touch,Other"</formula1>
    </dataValidation>
    <dataValidation type="list" operator="between" allowBlank="true" showInputMessage="true" showErrorMessage="true" sqref="Y108:Y109">
      <formula1>"Yes,No"</formula1>
    </dataValidation>
    <dataValidation type="list" operator="between" allowBlank="true" showInputMessage="true" showErrorMessage="true" sqref="Y110">
      <formula1>"Hard AZERTY/QWERTY,Touch AZERTY/QWERTY,Hard 20 keys,Numeric keypad only	"</formula1>
    </dataValidation>
    <dataValidation type="list" operator="between" allowBlank="true" showInputMessage="true" showErrorMessage="true" sqref="Y111">
      <formula1>"Yes,No"</formula1>
    </dataValidation>
    <dataValidation type="list" operator="between" allowBlank="true" showInputMessage="true" showErrorMessage="true" sqref="Y112">
      <formula1>"2m,1.8m,1.5m,1.2m,1.0m,&lt;1.0m"</formula1>
    </dataValidation>
    <dataValidation type="list" operator="between" allowBlank="true" showInputMessage="true" showErrorMessage="true" sqref="Y113">
      <formula1>"IP52,IP54,IP57,IP58,IP64,IP67,IP68,Not known,Other"</formula1>
    </dataValidation>
    <dataValidation type="list" operator="between" allowBlank="true" showInputMessage="true" showErrorMessage="true" sqref="Y114:Y115">
      <formula1>"Yes,No"</formula1>
    </dataValidation>
    <dataValidation type="decimal" operator="between" allowBlank="true" showInputMessage="true" showErrorMessage="true" errorTitle="Screen size (in inches) diagonal" error="numeric format expected - for instance 99,99 - or length characters exceeded" sqref="Y117">
      <formula1>0</formula1>
      <formula2>99.99</formula2>
    </dataValidation>
    <dataValidation type="whole" operator="between" allowBlank="true" showInputMessage="true" showErrorMessage="true" errorTitle="Width (px)" error="Integer size 4 expected or lenght characters exceeded" sqref="Y118">
      <formula1>0</formula1>
      <formula2>9999</formula2>
    </dataValidation>
    <dataValidation type="whole" operator="between" allowBlank="true" showInputMessage="true" showErrorMessage="true" errorTitle="Height (px)" error="Integer size 4 expected or lenght characters exceeded" sqref="Y119">
      <formula1>0</formula1>
      <formula2>9999</formula2>
    </dataValidation>
    <dataValidation type="list" operator="between" allowBlank="true" showInputMessage="true" showErrorMessage="true" sqref="Y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Y121">
      <formula1>0</formula1>
      <formula2>9999</formula2>
    </dataValidation>
    <dataValidation type="textLength" operator="between" allowBlank="true" showInputMessage="true" showErrorMessage="true" errorTitle="Contrast ratio" error="Expected length 0&lt;= value length &lt;51" sqref="Y122">
      <formula1>0</formula1>
      <formula2>50</formula2>
    </dataValidation>
    <dataValidation type="textLength" operator="between" allowBlank="true" showInputMessage="true" showErrorMessage="true" errorTitle="Brightness (cd/m2)" error="Expected length 0&lt;= value length &lt;51" sqref="Y123">
      <formula1>0</formula1>
      <formula2>50</formula2>
    </dataValidation>
    <dataValidation type="list" operator="between" allowBlank="true" showInputMessage="true" showErrorMessage="true" sqref="Y124:Y126">
      <formula1>"Yes,No"</formula1>
    </dataValidation>
    <dataValidation type="list" operator="between" allowBlank="true" showInputMessage="true" showErrorMessage="true" sqref="Y128">
      <formula1>"Yes,No"</formula1>
    </dataValidation>
    <dataValidation type="list" operator="between" allowBlank="true" showInputMessage="true" showErrorMessage="true" sqref="Y129">
      <formula1>"No,2,3,4,5,More"</formula1>
    </dataValidation>
    <dataValidation type="list" operator="between" allowBlank="true" showInputMessage="true" showErrorMessage="true" sqref="Y130">
      <formula1>"No,2FF,3FF (MicroSIM),4FF (nano SIM),e-SIM,e-SIM or 4FF (nano SIM)"</formula1>
    </dataValidation>
    <dataValidation type="list" operator="between" allowBlank="true" showInputMessage="true" showErrorMessage="true" sqref="Y132">
      <formula1>='Listes deroulantes'!$U$2:$U$28</formula1>
    </dataValidation>
    <dataValidation type="textLength" operator="between" allowBlank="true" showInputMessage="true" showErrorMessage="true" errorTitle="Wi-FI chipset name" error="Alphanumeric size 50 characters exceeded" sqref="Y133">
      <formula1>0</formula1>
      <formula2>50</formula2>
    </dataValidation>
    <dataValidation type="list" operator="between" allowBlank="true" showInputMessage="true" showErrorMessage="true" sqref="Y134:Y148">
      <formula1>"Yes,No"</formula1>
    </dataValidation>
    <dataValidation type="list" operator="between" allowBlank="true" showInputMessage="true" showErrorMessage="true" sqref="Y149">
      <formula1>"2x2,4x4,6x6,8x8"</formula1>
    </dataValidation>
    <dataValidation type="list" operator="between" allowBlank="true" showInputMessage="true" showErrorMessage="true" sqref="Y150">
      <formula1>='Listes deroulantes'!$V$2:$V$16</formula1>
    </dataValidation>
    <dataValidation type="textLength" operator="between" allowBlank="true" showInputMessage="true" showErrorMessage="true" errorTitle="Bluetooth Profile" error="Alphanumeric size 100 characters exceeded" sqref="Y151">
      <formula1>0</formula1>
      <formula2>100</formula2>
    </dataValidation>
    <dataValidation type="list" operator="between" allowBlank="true" showInputMessage="true" showErrorMessage="true" sqref="Y152:Y154">
      <formula1>"Yes,No"</formula1>
    </dataValidation>
    <dataValidation type="list" operator="between" allowBlank="true" showInputMessage="true" showErrorMessage="true" sqref="Y158">
      <formula1>"No,A-GPS,GPS Standalone,GNSS"</formula1>
    </dataValidation>
    <dataValidation type="list" operator="between" allowBlank="true" showInputMessage="true" showErrorMessage="true" sqref="Y159">
      <formula1>='Listes deroulantes'!$Q$2:$Q$10</formula1>
    </dataValidation>
    <dataValidation type="list" operator="between" allowBlank="true" showInputMessage="true" showErrorMessage="true" sqref="Y160">
      <formula1>='Listes deroulantes'!$W$2:$W$9</formula1>
    </dataValidation>
    <dataValidation type="list" operator="between" allowBlank="true" showInputMessage="true" showErrorMessage="true" sqref="Y161:Y166">
      <formula1>"Yes,No"</formula1>
    </dataValidation>
    <dataValidation type="list" operator="between" allowBlank="true" showInputMessage="true" showErrorMessage="true" sqref="Y168:Y172">
      <formula1>"Yes,No"</formula1>
    </dataValidation>
    <dataValidation type="whole" operator="between" allowBlank="true" showInputMessage="true" showErrorMessage="true" errorTitle="Battery capacity (mAh)" error="Integer size 5 expected or lenght characters exceeded" sqref="Y176">
      <formula1>0</formula1>
      <formula2>99999</formula2>
    </dataValidation>
    <dataValidation type="list" operator="between" allowBlank="true" showInputMessage="true" showErrorMessage="true" sqref="Y177">
      <formula1>"Li-Ion,Li-Poly,Li-Ion-Poly,Li-Technology,NiMH"</formula1>
    </dataValidation>
    <dataValidation type="list" operator="between" allowBlank="true" showInputMessage="true" showErrorMessage="true" sqref="Y178">
      <formula1>"Yes,No"</formula1>
    </dataValidation>
    <dataValidation type="list" operator="between" allowBlank="true" showInputMessage="true" showErrorMessage="true" sqref="Y179">
      <formula1>"No,Qi,Other"</formula1>
    </dataValidation>
    <dataValidation type="list" operator="between" allowBlank="true" showInputMessage="true" showErrorMessage="true" sqref="Y180">
      <formula1>"No,Pump Express,Quick Charge 2.0,Other"</formula1>
    </dataValidation>
    <dataValidation type="list" operator="between" allowBlank="true" showInputMessage="true" showErrorMessage="true" sqref="Y182">
      <formula1>"2TB,1TB,512GB,256GB,128GB,64GB,32GB,16GB,8GB,4GB,2GB,1GB,512MB,256MB,128MB"</formula1>
    </dataValidation>
    <dataValidation type="list" operator="between" allowBlank="true" showInputMessage="true" showErrorMessage="true" sqref="Y183:Y186">
      <formula1>"Yes,No"</formula1>
    </dataValidation>
    <dataValidation type="list" operator="between" allowBlank="true" showErrorMessage="true" sqref="Y187">
      <formula1>='Listes deroulantes'!$S$2:$S$28</formula1>
    </dataValidation>
    <dataValidation type="list" operator="between" allowBlank="true" showInputMessage="true" showErrorMessage="true" sqref="Y189:Y198">
      <formula1>"Yes,No"</formula1>
    </dataValidation>
    <dataValidation type="list" operator="between" allowBlank="true" showInputMessage="true" showErrorMessage="true" sqref="Y200:Y202">
      <formula1>"Yes,No"</formula1>
    </dataValidation>
    <dataValidation type="list" operator="between" allowBlank="true" showInputMessage="true" showErrorMessage="true" sqref="Y203">
      <formula1>"No,Picture Basic,Picture Rich,Video Basic,Video Rich,Megapixel,"</formula1>
    </dataValidation>
    <dataValidation type="list" operator="between" allowBlank="true" showInputMessage="true" showErrorMessage="true" sqref="Y204">
      <formula1>"600 kB,300 kB,100 kB,30 kB"</formula1>
    </dataValidation>
    <dataValidation type="list" operator="between" allowBlank="true" showInputMessage="true" showErrorMessage="true" sqref="Y205">
      <formula1>"No,Android Messages,OEM native messenger"</formula1>
    </dataValidation>
    <dataValidation type="list" operator="between" allowBlank="true" showInputMessage="true" showErrorMessage="true" sqref="Y207">
      <formula1>"No,Integrated,Integrated AND Autofocus"</formula1>
    </dataValidation>
    <dataValidation type="list" operator="between" allowBlank="true" showInputMessage="true" showErrorMessage="true" sqref="Y208">
      <formula1>"1,2,3,4,5"</formula1>
    </dataValidation>
    <dataValidation type="decimal" operator="between" allowBlank="true" showInputMessage="true" showErrorMessage="true" errorTitle="Main Camera1 resolution (Mpx)" error="numeric format expected - for instance 999,99 - or length characters exceeded" sqref="Y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Y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Y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Y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Y213">
      <formula1>0</formula1>
      <formula2>999.99</formula2>
    </dataValidation>
    <dataValidation type="list" operator="between" allowBlank="true" showInputMessage="true" showErrorMessage="true" sqref="Y214:Y215">
      <formula1>"Yes,No"</formula1>
    </dataValidation>
    <dataValidation type="textLength" operator="between" allowBlank="true" showInputMessage="true" showErrorMessage="true" errorTitle="Main Camera comments" error="Alphanumeric size 500 characters exceeded" sqref="Y216">
      <formula1>0</formula1>
      <formula2>500</formula2>
    </dataValidation>
    <dataValidation type="textLength" operator="between" allowBlank="true" showInputMessage="true" showErrorMessage="true" errorTitle="Main Camera Features" error="Alphanumeric size 500 characters exceeded" sqref="Y217">
      <formula1>0</formula1>
      <formula2>500</formula2>
    </dataValidation>
    <dataValidation type="textLength" operator="between" allowBlank="true" showInputMessage="true" showErrorMessage="true" errorTitle="Main Camera video" error="Alphanumeric size 500 characters exceeded" sqref="Y218">
      <formula1>0</formula1>
      <formula2>500</formula2>
    </dataValidation>
    <dataValidation type="list" operator="between" allowBlank="true" showInputMessage="true" showErrorMessage="true" sqref="Y219">
      <formula1>"f/0.30,f/0.60,f/0.70,f/0.75,f/0.80,f/0.85,f/0.90,f/0.95,f/1.0,f/1.1,f/1.2,f/1.3,f/1.4,f/1.5,f/1.6,f/1.7,f/1.8,f/1.9,f/2.0,f/2.1,f/2.2,f/2.3,f/2.4,f/2.5,f/2.8,f/2.9,f/3.0"</formula1>
    </dataValidation>
    <dataValidation type="list" operator="between" allowBlank="true" showInputMessage="true" showErrorMessage="true" sqref="Y220">
      <formula1>"Yes,No"</formula1>
    </dataValidation>
    <dataValidation type="list" operator="between" allowBlank="true" showInputMessage="true" showErrorMessage="true" sqref="Y221">
      <formula1>"No,LED,2 LED,Xenon,Other"</formula1>
    </dataValidation>
    <dataValidation type="list" operator="between" allowBlank="true" showInputMessage="true" showErrorMessage="true" sqref="Y223">
      <formula1>"No,Integrated,Integrated AND Autofocus"</formula1>
    </dataValidation>
    <dataValidation type="list" operator="between" allowBlank="true" showInputMessage="true" showErrorMessage="true" sqref="Y224">
      <formula1>"1,2"</formula1>
    </dataValidation>
    <dataValidation type="decimal" operator="between" allowBlank="true" showInputMessage="true" showErrorMessage="true" errorTitle="Selfie Camera1 resolution (Mpx)" error="numeric format expected - for instance 999,99 - or length characters exceeded" sqref="Y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Y226">
      <formula1>0</formula1>
      <formula2>999.99</formula2>
    </dataValidation>
    <dataValidation type="list" operator="between" allowBlank="true" showInputMessage="true" showErrorMessage="true" sqref="Y227:Y228">
      <formula1>"Yes,No"</formula1>
    </dataValidation>
    <dataValidation type="textLength" operator="between" allowBlank="true" showInputMessage="true" showErrorMessage="true" errorTitle="Selfie Camera comments" error="Alphanumeric size 500 characters exceeded" sqref="Y229">
      <formula1>0</formula1>
      <formula2>500</formula2>
    </dataValidation>
    <dataValidation type="textLength" operator="between" allowBlank="true" showInputMessage="true" showErrorMessage="true" errorTitle="Selfie Camera Features" error="Alphanumeric size 500 characters exceeded" sqref="Y230">
      <formula1>0</formula1>
      <formula2>500</formula2>
    </dataValidation>
    <dataValidation type="textLength" operator="between" allowBlank="true" showInputMessage="true" showErrorMessage="true" errorTitle="Selfie Camera video" error="Alphanumeric size 500 characters exceeded" sqref="Y231">
      <formula1>0</formula1>
      <formula2>500</formula2>
    </dataValidation>
    <dataValidation type="list" operator="between" allowBlank="true" showInputMessage="true" showErrorMessage="true" sqref="Y233:Y239">
      <formula1>"Yes,No"</formula1>
    </dataValidation>
    <dataValidation type="list" operator="between" allowBlank="true" showInputMessage="true" showErrorMessage="true" sqref="Y241">
      <formula1>"Yes,No"</formula1>
    </dataValidation>
    <dataValidation type="list" operator="between" allowBlank="true" showInputMessage="true" showErrorMessage="true" sqref="Y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Y244">
      <formula1>0</formula1>
      <formula2>9.99</formula2>
    </dataValidation>
    <dataValidation type="decimal" operator="between" allowBlank="true" showInputMessage="true" showErrorMessage="true" errorTitle="SAR head (Watt/kg)" error="numeric format expected - for instance 9,999 - or length characters exceeded" sqref="Y245:Y246">
      <formula1>0</formula1>
      <formula2>9.99</formula2>
    </dataValidation>
    <dataValidation type="decimal" operator="between" allowBlank="true" showInputMessage="true" showErrorMessage="true" errorTitle="Production value (kg CO2eq) " error="Numeric expected with max size 99,99" sqref="Y249">
      <formula1>0</formula1>
      <formula2>99.99</formula2>
    </dataValidation>
    <dataValidation type="decimal" operator="between" allowBlank="true" showInputMessage="true" showErrorMessage="true" errorTitle="Transportation value (kg CO2eq)" error="Numeric expected with max size 99,99" sqref="Y250">
      <formula1>0</formula1>
      <formula2>99.99</formula2>
    </dataValidation>
    <dataValidation type="list" operator="between" allowBlank="true" showInputMessage="true" showErrorMessage="true" error="Integer expected with max size 100" sqref="Y252">
      <formula1>"R02,R03,R04,R05"</formula1>
    </dataValidation>
    <dataValidation type="decimal" operator="between" allowBlank="true" showInputMessage="true" showErrorMessage="true" errorTitle="Production value (kg CO2eq) " error="Numeric expected with max size 99,99" sqref="Y253">
      <formula1>0</formula1>
      <formula2>99.99</formula2>
    </dataValidation>
    <dataValidation type="decimal" operator="between" allowBlank="true" showInputMessage="true" showErrorMessage="true" errorTitle="Adjustment for memory variant" error="-101&lt;Value expected&lt;101" sqref="Y254">
      <formula1>-100.99</formula1>
      <formula2>100.99</formula2>
    </dataValidation>
    <dataValidation type="decimal" operator="between" allowBlank="true" showInputMessage="true" showErrorMessage="true" errorTitle="Transportation value (kg CO2eq)" error="Numeric expected with max size 99,99" sqref="Y255">
      <formula1>0</formula1>
      <formula2>99.99</formula2>
    </dataValidation>
    <dataValidation type="decimal" operator="between" allowBlank="true" showInputMessage="true" showErrorMessage="true" errorTitle="Production value (kg CO2eq) " error="Numeric expected with max size 99,99" sqref="Y257">
      <formula1>0</formula1>
      <formula2>99.99</formula2>
    </dataValidation>
    <dataValidation type="decimal" operator="between" allowBlank="true" showInputMessage="true" showErrorMessage="true" errorTitle="Adjustment for memory variant" error="-101&lt;Value expected&lt;101" sqref="Y258">
      <formula1>-100.99</formula1>
      <formula2>100.99</formula2>
    </dataValidation>
    <dataValidation type="decimal" operator="between" allowBlank="true" showInputMessage="true" showErrorMessage="true" errorTitle="Transportation value (kg CO2eq)" error="Numeric expected with max size 99,99" sqref="Y259">
      <formula1>0</formula1>
      <formula2>99.99</formula2>
    </dataValidation>
    <dataValidation type="list" operator="between" allowBlank="true" showInputMessage="true" showErrorMessage="true" sqref="Y260">
      <formula1>"World,EU,MEA"</formula1>
    </dataValidation>
    <dataValidation type="whole" operator="between" allowBlank="true" showInputMessage="true" showErrorMessage="true" error="Integer expected with max size 100" sqref="Y265">
      <formula1>43101</formula1>
      <formula2>54788</formula2>
    </dataValidation>
    <dataValidation type="decimal" operator="between" allowBlank="true" showInputMessage="true" showErrorMessage="true" error="Numeric range expected from 0,00 to 999,99" sqref="Y266">
      <formula1>0</formula1>
      <formula2>999.99</formula2>
    </dataValidation>
    <dataValidation type="date" operator="between" allowBlank="true" showInputMessage="true" showErrorMessage="true" error="Integer expected with max size 100" sqref="Y267">
      <formula1>43101</formula1>
      <formula2>54788</formula2>
    </dataValidation>
    <dataValidation type="decimal" operator="between" allowBlank="true" showInputMessage="true" showErrorMessage="true" error="Numeric range expected from 0,00 to 999,99" sqref="Y268">
      <formula1>0</formula1>
      <formula2>999.99</formula2>
    </dataValidation>
    <dataValidation type="whole" operator="between" allowBlank="true" showInputMessage="true" showErrorMessage="true" error="Integer expected with max size 100" sqref="Y272">
      <formula1>43101</formula1>
      <formula2>54788</formula2>
    </dataValidation>
    <dataValidation type="decimal" operator="between" allowBlank="true" showInputMessage="true" showErrorMessage="true" error="Numeric range expected from 0,00 to 999,99" sqref="Y273">
      <formula1>0</formula1>
      <formula2>999.99</formula2>
    </dataValidation>
    <dataValidation type="date" operator="between" allowBlank="true" showInputMessage="true" showErrorMessage="true" error="Integer expected with max size 100" sqref="Y274">
      <formula1>43101</formula1>
      <formula2>54788</formula2>
    </dataValidation>
    <dataValidation type="decimal" operator="between" allowBlank="true" showInputMessage="true" showErrorMessage="true" error="Numeric range expected from 0,00 to 999,99" sqref="Y275">
      <formula1>0</formula1>
      <formula2>999.99</formula2>
    </dataValidation>
    <dataValidation type="whole" operator="between" allowBlank="true" showInputMessage="true" showErrorMessage="true" error="Integer expected with max size 100" sqref="Y279">
      <formula1>43101</formula1>
      <formula2>54788</formula2>
    </dataValidation>
    <dataValidation type="decimal" operator="between" allowBlank="true" showInputMessage="true" showErrorMessage="true" error="Numeric range expected from 0,00 to 999,99" sqref="Y280">
      <formula1>0</formula1>
      <formula2>999.99</formula2>
    </dataValidation>
    <dataValidation type="date" operator="between" allowBlank="true" showInputMessage="true" showErrorMessage="true" error="Integer expected with max size 100" sqref="Y281">
      <formula1>43101</formula1>
      <formula2>54788</formula2>
    </dataValidation>
    <dataValidation type="decimal" operator="between" allowBlank="true" showInputMessage="true" showErrorMessage="true" error="Numeric range expected from 0,00 to 999,99" sqref="Y282">
      <formula1>0</formula1>
      <formula2>999.99</formula2>
    </dataValidation>
    <dataValidation type="textLength" errorStyle="stop" operator="between" allowBlank="true" showDropDown="false" showInputMessage="true" showErrorMessage="true" prompt="" sqref="Z2">
      <formula1>1</formula1>
      <formula2>10000</formula2>
    </dataValidation>
    <dataValidation type="list" operator="between" allowBlank="true" showInputMessage="true" showErrorMessage="true" sqref="Z6">
      <formula1>"Mobile,Tablet"</formula1>
    </dataValidation>
    <dataValidation type="textLength" operator="between" allowBlank="true" showInputMessage="true" showErrorMessage="true" errorTitle="Brand name" error="Alphanumeric size from 3 to 50 characters" sqref="Z7">
      <formula1>3</formula1>
      <formula2>50</formula2>
    </dataValidation>
    <dataValidation type="textLength" operator="between" allowBlank="true" showInputMessage="true" showErrorMessage="true" errorTitle="GCF Model name" error="Alphanumeric size 64 characters exceeded" sqref="Z8">
      <formula1>0</formula1>
      <formula2>64</formula2>
    </dataValidation>
    <dataValidation type="textLength" operator="between" allowBlank="true" showInputMessage="true" showErrorMessage="true" errorTitle="Comments" error="Alphanumeric size 2000 characters exceeded" sqref="Z9">
      <formula1>0</formula1>
      <formula2>2000</formula2>
    </dataValidation>
    <dataValidation type="date" operator="between" allowBlank="true" showErrorMessage="true" errorTitle="Marketing samples availability" error="Date expected" sqref="Z10">
      <formula1>43101</formula1>
      <formula2>54788</formula2>
    </dataValidation>
    <dataValidation type="date" operator="between" allowBlank="true" showErrorMessage="true" errorTitle="Technical samples availability" error="Date expected" sqref="Z11">
      <formula1>43101</formula1>
      <formula2>54788</formula2>
    </dataValidation>
    <dataValidation type="date" operator="between" allowBlank="true" showErrorMessage="true" errorTitle="Expected Generic Street Launch" error="Date expected" sqref="Z12">
      <formula1>43101</formula1>
      <formula2>54788</formula2>
    </dataValidation>
    <dataValidation type="date" operator="between" allowBlank="true" showErrorMessage="true" errorTitle="Expected availability warehouse" error="Date expected" sqref="Z13">
      <formula1>43101</formula1>
      <formula2>54788</formula2>
    </dataValidation>
    <dataValidation type="date" operator="between" allowBlank="true" showErrorMessage="true" errorTitle="GCF date" error="Date expected" sqref="Z14:Z15">
      <formula1>43101</formula1>
      <formula2>54788</formula2>
    </dataValidation>
    <dataValidation type="date" operator="between" allowBlank="true" showErrorMessage="true" errorTitle="Wi-Fi alliance date" error="Date expected" sqref="Z16">
      <formula1>43101</formula1>
      <formula2>54788</formula2>
    </dataValidation>
    <dataValidation type="list" operator="between" allowBlank="true" showInputMessage="true" showErrorMessage="true" sqref="Z17">
      <formula1>"Flagship,Everyday Superphone,Essential Smartphone,Voice,Not applicable"</formula1>
    </dataValidation>
    <dataValidation type="decimal" operator="between" allowBlank="true" showInputMessage="true" showErrorMessage="true" errorTitle="Repairability index" error="Numeric expected with max size 10,00" sqref="Z18">
      <formula1>0</formula1>
      <formula2>10</formula2>
    </dataValidation>
    <dataValidation type="textLength" operator="between" allowBlank="true" showInputMessage="true" showErrorMessage="true" errorTitle="Comments" error="Alphanumeric size 2000 characters exceeded" sqref="Z19">
      <formula1>0</formula1>
      <formula2>2000</formula2>
    </dataValidation>
    <dataValidation type="textLength" operator="between" allowBlank="true" showInputMessage="true" showErrorMessage="true" errorTitle="Commercial name" error="Alphanumeric size 120 characters exceeded" sqref="Z21">
      <formula1>0</formula1>
      <formula2>120</formula2>
    </dataValidation>
    <dataValidation type="textLength" operator="between" allowBlank="true" showInputMessage="true" showErrorMessage="true" errorTitle="Orange Variant name" error="Alphanumeric size 120 characters exceeded" sqref="Z22">
      <formula1>0</formula1>
      <formula2>240</formula2>
    </dataValidation>
    <dataValidation type="list" operator="between" allowBlank="true" showInputMessage="true" showErrorMessage="true" sqref="Z23">
      <formula1>"ODM - OBD, ODM - Not OBD"</formula1>
    </dataValidation>
    <dataValidation type="list" operator="between" allowBlank="true" showInputMessage="true" showErrorMessage="true" sqref="Z24">
      <formula1>"Flagship,Everyday Superphone,Essential Smartphone,Voice,Not applicable"</formula1>
    </dataValidation>
    <dataValidation type="list" operator="between" allowBlank="true" showInputMessage="true" showErrorMessage="true" sqref="Z25">
      <formula1>"Essential Smartphone High,Essential Smartphone Entry,Not applicable"</formula1>
    </dataValidation>
    <dataValidation type="list" operator="between" allowBlank="true" showInputMessage="true" showErrorMessage="true" sqref="Z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Z29">
      <formula1>0</formula1>
      <formula2>50</formula2>
    </dataValidation>
    <dataValidation type="textLength" operator="between" allowBlank="true" showInputMessage="true" showErrorMessage="true" errorTitle="Hardware Platform ref name" error="Alphanumeric size 50 characters exceeded" sqref="Z30">
      <formula1>0</formula1>
      <formula2>50</formula2>
    </dataValidation>
    <dataValidation type="list" operator="between" allowBlank="true" showInputMessage="true" showErrorMessage="true" sqref="Z31">
      <formula1>='Listes deroulantes'!$U$2:$U$28</formula1>
    </dataValidation>
    <dataValidation type="textLength" operator="between" allowBlank="true" showInputMessage="true" showErrorMessage="true" errorTitle="Baseband chipset name" error="Alphanumeric size 50 characters exceeded" sqref="Z32">
      <formula1>0</formula1>
      <formula2>50</formula2>
    </dataValidation>
    <dataValidation type="list" operator="between" allowBlank="true" showInputMessage="true" showErrorMessage="true" sqref="Z33">
      <formula1>"0,1,2,3,4,6,8,Others"</formula1>
    </dataValidation>
    <dataValidation type="list" operator="between" allowBlank="true" showInputMessage="true" showErrorMessage="true" sqref="Z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Z37">
      <formula1>0</formula1>
      <formula2>10</formula2>
    </dataValidation>
    <dataValidation type="textLength" operator="between" allowBlank="true" showInputMessage="true" showErrorMessage="true" errorTitle="Nb of OS Android patch upgrade" error="Integer size 2 characters exceeded" sqref="Z38">
      <formula1>0</formula1>
      <formula2>2</formula2>
    </dataValidation>
    <dataValidation type="textLength" operator="between" allowBlank="true" showInputMessage="true" showErrorMessage="true" errorTitle="OS Android patch upgrade (years)" error="Integer size 2 characters exceeded" sqref="Z39">
      <formula1>0</formula1>
      <formula2>2</formula2>
    </dataValidation>
    <dataValidation type="list" operator="between" allowBlank="true" showInputMessage="true" showErrorMessage="true" errorTitle="Frequency Android OS security" error="Value not allowed, select value from drop down menu" sqref="Z40">
      <formula1>"Monthly,Quarterly,Half-yearly,Yearly"</formula1>
    </dataValidation>
    <dataValidation type="list" operator="between" allowBlank="true" showInputMessage="true" showErrorMessage="true" sqref="Z42:Z48">
      <formula1>"Yes,No"</formula1>
    </dataValidation>
    <dataValidation type="list" operator="between" allowBlank="true" showInputMessage="true" showErrorMessage="true" sqref="Z49">
      <formula1>"FDD,TDD,FDD / TDD"</formula1>
    </dataValidation>
    <dataValidation type="list" operator="between" allowBlank="true" showInputMessage="true" showErrorMessage="true" sqref="Z50">
      <formula1>='Listes deroulantes'!$A$2:$A$32</formula1>
    </dataValidation>
    <dataValidation type="list" operator="between" allowBlank="true" showInputMessage="true" showErrorMessage="true" sqref="Z51">
      <formula1>='Listes deroulantes'!$E$2:$E$26</formula1>
    </dataValidation>
    <dataValidation type="list" operator="between" allowBlank="true" showInputMessage="true" showErrorMessage="true" sqref="Z52">
      <formula1>='Listes deroulantes'!$C$2:$C$23</formula1>
    </dataValidation>
    <dataValidation type="list" operator="between" allowBlank="true" showInputMessage="true" showErrorMessage="true" sqref="Z53:Z56">
      <formula1>"Yes,No"</formula1>
    </dataValidation>
    <dataValidation type="list" operator="between" allowBlank="true" showInputMessage="true" showErrorMessage="true" sqref="Z57">
      <formula1>"No,2x2,4x4,4x2"</formula1>
    </dataValidation>
    <dataValidation type="list" operator="between" allowBlank="true" showInputMessage="true" showErrorMessage="true" sqref="Z58">
      <formula1>"No,2x2"</formula1>
    </dataValidation>
    <dataValidation type="list" operator="between" allowBlank="true" showInputMessage="true" showErrorMessage="true" sqref="Z59">
      <formula1>"No,2,3,4,5,6,7,8"</formula1>
    </dataValidation>
    <dataValidation type="list" operator="between" allowBlank="true" showInputMessage="true" showErrorMessage="true" sqref="Z60">
      <formula1>='Listes deroulantes'!$G$2:$G$5</formula1>
    </dataValidation>
    <dataValidation type="list" operator="between" allowBlank="true" showInputMessage="true" showErrorMessage="true" sqref="Z61">
      <formula1>='Listes deroulantes'!$I$2:$I$3</formula1>
    </dataValidation>
    <dataValidation type="list" operator="between" allowBlank="true" showInputMessage="true" showErrorMessage="true" sqref="Z62">
      <formula1>='Listes deroulantes'!$K$2:$K$4</formula1>
    </dataValidation>
    <dataValidation type="list" operator="between" allowBlank="true" showInputMessage="true" showErrorMessage="true" sqref="Z64:Z97">
      <formula1>"Yes,No"</formula1>
    </dataValidation>
    <dataValidation type="list" operator="between" allowBlank="true" showInputMessage="true" showErrorMessage="true" sqref="Z98:Z99">
      <formula1>='Listes deroulantes'!$I$2:$I$3</formula1>
    </dataValidation>
    <dataValidation type="list" operator="between" allowBlank="true" showInputMessage="true" showErrorMessage="true" sqref="Z100">
      <formula1>='Listes deroulantes'!$M$2:$M$18</formula1>
    </dataValidation>
    <dataValidation type="list" operator="between" allowBlank="true" showInputMessage="true" showErrorMessage="true" sqref="Z101">
      <formula1>='Listes deroulantes'!$O$2:$O$4</formula1>
    </dataValidation>
    <dataValidation type="decimal" operator="between" allowBlank="true" showInputMessage="true" showErrorMessage="true" errorTitle="Weight (g)" error="numeric format expected - for instance 999,99 maximum - or length characters exceeded" sqref="Z103:Z106">
      <formula1>0</formula1>
      <formula2>999.99</formula2>
    </dataValidation>
    <dataValidation type="list" operator="between" allowBlank="true" showInputMessage="true" showErrorMessage="true" sqref="Z107">
      <formula1>"Bar,Messenger bar,Clamshell,Slide,Touch,Messenger/sliding touch,Other"</formula1>
    </dataValidation>
    <dataValidation type="list" operator="between" allowBlank="true" showInputMessage="true" showErrorMessage="true" sqref="Z108:Z109">
      <formula1>"Yes,No"</formula1>
    </dataValidation>
    <dataValidation type="list" operator="between" allowBlank="true" showInputMessage="true" showErrorMessage="true" sqref="Z110">
      <formula1>"Hard AZERTY/QWERTY,Touch AZERTY/QWERTY,Hard 20 keys,Numeric keypad only	"</formula1>
    </dataValidation>
    <dataValidation type="list" operator="between" allowBlank="true" showInputMessage="true" showErrorMessage="true" sqref="Z111">
      <formula1>"Yes,No"</formula1>
    </dataValidation>
    <dataValidation type="list" operator="between" allowBlank="true" showInputMessage="true" showErrorMessage="true" sqref="Z112">
      <formula1>"2m,1.8m,1.5m,1.2m,1.0m,&lt;1.0m"</formula1>
    </dataValidation>
    <dataValidation type="list" operator="between" allowBlank="true" showInputMessage="true" showErrorMessage="true" sqref="Z113">
      <formula1>"IP52,IP54,IP57,IP58,IP64,IP67,IP68,Not known,Other"</formula1>
    </dataValidation>
    <dataValidation type="list" operator="between" allowBlank="true" showInputMessage="true" showErrorMessage="true" sqref="Z114:Z115">
      <formula1>"Yes,No"</formula1>
    </dataValidation>
    <dataValidation type="decimal" operator="between" allowBlank="true" showInputMessage="true" showErrorMessage="true" errorTitle="Screen size (in inches) diagonal" error="numeric format expected - for instance 99,99 - or length characters exceeded" sqref="Z117">
      <formula1>0</formula1>
      <formula2>99.99</formula2>
    </dataValidation>
    <dataValidation type="whole" operator="between" allowBlank="true" showInputMessage="true" showErrorMessage="true" errorTitle="Width (px)" error="Integer size 4 expected or lenght characters exceeded" sqref="Z118">
      <formula1>0</formula1>
      <formula2>9999</formula2>
    </dataValidation>
    <dataValidation type="whole" operator="between" allowBlank="true" showInputMessage="true" showErrorMessage="true" errorTitle="Height (px)" error="Integer size 4 expected or lenght characters exceeded" sqref="Z119">
      <formula1>0</formula1>
      <formula2>9999</formula2>
    </dataValidation>
    <dataValidation type="list" operator="between" allowBlank="true" showInputMessage="true" showErrorMessage="true" sqref="Z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Z121">
      <formula1>0</formula1>
      <formula2>9999</formula2>
    </dataValidation>
    <dataValidation type="textLength" operator="between" allowBlank="true" showInputMessage="true" showErrorMessage="true" errorTitle="Contrast ratio" error="Expected length 0&lt;= value length &lt;51" sqref="Z122">
      <formula1>0</formula1>
      <formula2>50</formula2>
    </dataValidation>
    <dataValidation type="textLength" operator="between" allowBlank="true" showInputMessage="true" showErrorMessage="true" errorTitle="Brightness (cd/m2)" error="Expected length 0&lt;= value length &lt;51" sqref="Z123">
      <formula1>0</formula1>
      <formula2>50</formula2>
    </dataValidation>
    <dataValidation type="list" operator="between" allowBlank="true" showInputMessage="true" showErrorMessage="true" sqref="Z124:Z126">
      <formula1>"Yes,No"</formula1>
    </dataValidation>
    <dataValidation type="list" operator="between" allowBlank="true" showInputMessage="true" showErrorMessage="true" sqref="Z128">
      <formula1>"Yes,No"</formula1>
    </dataValidation>
    <dataValidation type="list" operator="between" allowBlank="true" showInputMessage="true" showErrorMessage="true" sqref="Z129">
      <formula1>"No,2,3,4,5,More"</formula1>
    </dataValidation>
    <dataValidation type="list" operator="between" allowBlank="true" showInputMessage="true" showErrorMessage="true" sqref="Z130">
      <formula1>"No,2FF,3FF (MicroSIM),4FF (nano SIM),e-SIM,e-SIM or 4FF (nano SIM)"</formula1>
    </dataValidation>
    <dataValidation type="list" operator="between" allowBlank="true" showInputMessage="true" showErrorMessage="true" sqref="Z132">
      <formula1>='Listes deroulantes'!$U$2:$U$28</formula1>
    </dataValidation>
    <dataValidation type="textLength" operator="between" allowBlank="true" showInputMessage="true" showErrorMessage="true" errorTitle="Wi-FI chipset name" error="Alphanumeric size 50 characters exceeded" sqref="Z133">
      <formula1>0</formula1>
      <formula2>50</formula2>
    </dataValidation>
    <dataValidation type="list" operator="between" allowBlank="true" showInputMessage="true" showErrorMessage="true" sqref="Z134:Z148">
      <formula1>"Yes,No"</formula1>
    </dataValidation>
    <dataValidation type="list" operator="between" allowBlank="true" showInputMessage="true" showErrorMessage="true" sqref="Z149">
      <formula1>"2x2,4x4,6x6,8x8"</formula1>
    </dataValidation>
    <dataValidation type="list" operator="between" allowBlank="true" showInputMessage="true" showErrorMessage="true" sqref="Z150">
      <formula1>='Listes deroulantes'!$V$2:$V$16</formula1>
    </dataValidation>
    <dataValidation type="textLength" operator="between" allowBlank="true" showInputMessage="true" showErrorMessage="true" errorTitle="Bluetooth Profile" error="Alphanumeric size 100 characters exceeded" sqref="Z151">
      <formula1>0</formula1>
      <formula2>100</formula2>
    </dataValidation>
    <dataValidation type="list" operator="between" allowBlank="true" showInputMessage="true" showErrorMessage="true" sqref="Z152:Z154">
      <formula1>"Yes,No"</formula1>
    </dataValidation>
    <dataValidation type="list" operator="between" allowBlank="true" showInputMessage="true" showErrorMessage="true" sqref="Z158">
      <formula1>"No,A-GPS,GPS Standalone,GNSS"</formula1>
    </dataValidation>
    <dataValidation type="list" operator="between" allowBlank="true" showInputMessage="true" showErrorMessage="true" sqref="Z159">
      <formula1>='Listes deroulantes'!$Q$2:$Q$10</formula1>
    </dataValidation>
    <dataValidation type="list" operator="between" allowBlank="true" showInputMessage="true" showErrorMessage="true" sqref="Z160">
      <formula1>='Listes deroulantes'!$W$2:$W$9</formula1>
    </dataValidation>
    <dataValidation type="list" operator="between" allowBlank="true" showInputMessage="true" showErrorMessage="true" sqref="Z161:Z166">
      <formula1>"Yes,No"</formula1>
    </dataValidation>
    <dataValidation type="list" operator="between" allowBlank="true" showInputMessage="true" showErrorMessage="true" sqref="Z168:Z172">
      <formula1>"Yes,No"</formula1>
    </dataValidation>
    <dataValidation type="whole" operator="between" allowBlank="true" showInputMessage="true" showErrorMessage="true" errorTitle="Battery capacity (mAh)" error="Integer size 5 expected or lenght characters exceeded" sqref="Z176">
      <formula1>0</formula1>
      <formula2>99999</formula2>
    </dataValidation>
    <dataValidation type="list" operator="between" allowBlank="true" showInputMessage="true" showErrorMessage="true" sqref="Z177">
      <formula1>"Li-Ion,Li-Poly,Li-Ion-Poly,Li-Technology,NiMH"</formula1>
    </dataValidation>
    <dataValidation type="list" operator="between" allowBlank="true" showInputMessage="true" showErrorMessage="true" sqref="Z178">
      <formula1>"Yes,No"</formula1>
    </dataValidation>
    <dataValidation type="list" operator="between" allowBlank="true" showInputMessage="true" showErrorMessage="true" sqref="Z179">
      <formula1>"No,Qi,Other"</formula1>
    </dataValidation>
    <dataValidation type="list" operator="between" allowBlank="true" showInputMessage="true" showErrorMessage="true" sqref="Z180">
      <formula1>"No,Pump Express,Quick Charge 2.0,Other"</formula1>
    </dataValidation>
    <dataValidation type="list" operator="between" allowBlank="true" showInputMessage="true" showErrorMessage="true" sqref="Z182">
      <formula1>"2TB,1TB,512GB,256GB,128GB,64GB,32GB,16GB,8GB,4GB,2GB,1GB,512MB,256MB,128MB"</formula1>
    </dataValidation>
    <dataValidation type="list" operator="between" allowBlank="true" showInputMessage="true" showErrorMessage="true" sqref="Z183:Z186">
      <formula1>"Yes,No"</formula1>
    </dataValidation>
    <dataValidation type="list" operator="between" allowBlank="true" showErrorMessage="true" sqref="Z187">
      <formula1>='Listes deroulantes'!$S$2:$S$28</formula1>
    </dataValidation>
    <dataValidation type="list" operator="between" allowBlank="true" showInputMessage="true" showErrorMessage="true" sqref="Z189:Z198">
      <formula1>"Yes,No"</formula1>
    </dataValidation>
    <dataValidation type="list" operator="between" allowBlank="true" showInputMessage="true" showErrorMessage="true" sqref="Z200:Z202">
      <formula1>"Yes,No"</formula1>
    </dataValidation>
    <dataValidation type="list" operator="between" allowBlank="true" showInputMessage="true" showErrorMessage="true" sqref="Z203">
      <formula1>"No,Picture Basic,Picture Rich,Video Basic,Video Rich,Megapixel,"</formula1>
    </dataValidation>
    <dataValidation type="list" operator="between" allowBlank="true" showInputMessage="true" showErrorMessage="true" sqref="Z204">
      <formula1>"600 kB,300 kB,100 kB,30 kB"</formula1>
    </dataValidation>
    <dataValidation type="list" operator="between" allowBlank="true" showInputMessage="true" showErrorMessage="true" sqref="Z205">
      <formula1>"No,Android Messages,OEM native messenger"</formula1>
    </dataValidation>
    <dataValidation type="list" operator="between" allowBlank="true" showInputMessage="true" showErrorMessage="true" sqref="Z207">
      <formula1>"No,Integrated,Integrated AND Autofocus"</formula1>
    </dataValidation>
    <dataValidation type="list" operator="between" allowBlank="true" showInputMessage="true" showErrorMessage="true" sqref="Z208">
      <formula1>"1,2,3,4,5"</formula1>
    </dataValidation>
    <dataValidation type="decimal" operator="between" allowBlank="true" showInputMessage="true" showErrorMessage="true" errorTitle="Main Camera1 resolution (Mpx)" error="numeric format expected - for instance 999,99 - or length characters exceeded" sqref="Z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Z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Z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Z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Z213">
      <formula1>0</formula1>
      <formula2>999.99</formula2>
    </dataValidation>
    <dataValidation type="list" operator="between" allowBlank="true" showInputMessage="true" showErrorMessage="true" sqref="Z214:Z215">
      <formula1>"Yes,No"</formula1>
    </dataValidation>
    <dataValidation type="textLength" operator="between" allowBlank="true" showInputMessage="true" showErrorMessage="true" errorTitle="Main Camera comments" error="Alphanumeric size 500 characters exceeded" sqref="Z216">
      <formula1>0</formula1>
      <formula2>500</formula2>
    </dataValidation>
    <dataValidation type="textLength" operator="between" allowBlank="true" showInputMessage="true" showErrorMessage="true" errorTitle="Main Camera Features" error="Alphanumeric size 500 characters exceeded" sqref="Z217">
      <formula1>0</formula1>
      <formula2>500</formula2>
    </dataValidation>
    <dataValidation type="textLength" operator="between" allowBlank="true" showInputMessage="true" showErrorMessage="true" errorTitle="Main Camera video" error="Alphanumeric size 500 characters exceeded" sqref="Z218">
      <formula1>0</formula1>
      <formula2>500</formula2>
    </dataValidation>
    <dataValidation type="list" operator="between" allowBlank="true" showInputMessage="true" showErrorMessage="true" sqref="Z219">
      <formula1>"f/0.30,f/0.60,f/0.70,f/0.75,f/0.80,f/0.85,f/0.90,f/0.95,f/1.0,f/1.1,f/1.2,f/1.3,f/1.4,f/1.5,f/1.6,f/1.7,f/1.8,f/1.9,f/2.0,f/2.1,f/2.2,f/2.3,f/2.4,f/2.5,f/2.8,f/2.9,f/3.0"</formula1>
    </dataValidation>
    <dataValidation type="list" operator="between" allowBlank="true" showInputMessage="true" showErrorMessage="true" sqref="Z220">
      <formula1>"Yes,No"</formula1>
    </dataValidation>
    <dataValidation type="list" operator="between" allowBlank="true" showInputMessage="true" showErrorMessage="true" sqref="Z221">
      <formula1>"No,LED,2 LED,Xenon,Other"</formula1>
    </dataValidation>
    <dataValidation type="list" operator="between" allowBlank="true" showInputMessage="true" showErrorMessage="true" sqref="Z223">
      <formula1>"No,Integrated,Integrated AND Autofocus"</formula1>
    </dataValidation>
    <dataValidation type="list" operator="between" allowBlank="true" showInputMessage="true" showErrorMessage="true" sqref="Z224">
      <formula1>"1,2"</formula1>
    </dataValidation>
    <dataValidation type="decimal" operator="between" allowBlank="true" showInputMessage="true" showErrorMessage="true" errorTitle="Selfie Camera1 resolution (Mpx)" error="numeric format expected - for instance 999,99 - or length characters exceeded" sqref="Z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Z226">
      <formula1>0</formula1>
      <formula2>999.99</formula2>
    </dataValidation>
    <dataValidation type="list" operator="between" allowBlank="true" showInputMessage="true" showErrorMessage="true" sqref="Z227:Z228">
      <formula1>"Yes,No"</formula1>
    </dataValidation>
    <dataValidation type="textLength" operator="between" allowBlank="true" showInputMessage="true" showErrorMessage="true" errorTitle="Selfie Camera comments" error="Alphanumeric size 500 characters exceeded" sqref="Z229">
      <formula1>0</formula1>
      <formula2>500</formula2>
    </dataValidation>
    <dataValidation type="textLength" operator="between" allowBlank="true" showInputMessage="true" showErrorMessage="true" errorTitle="Selfie Camera Features" error="Alphanumeric size 500 characters exceeded" sqref="Z230">
      <formula1>0</formula1>
      <formula2>500</formula2>
    </dataValidation>
    <dataValidation type="textLength" operator="between" allowBlank="true" showInputMessage="true" showErrorMessage="true" errorTitle="Selfie Camera video" error="Alphanumeric size 500 characters exceeded" sqref="Z231">
      <formula1>0</formula1>
      <formula2>500</formula2>
    </dataValidation>
    <dataValidation type="list" operator="between" allowBlank="true" showInputMessage="true" showErrorMessage="true" sqref="Z233:Z239">
      <formula1>"Yes,No"</formula1>
    </dataValidation>
    <dataValidation type="list" operator="between" allowBlank="true" showInputMessage="true" showErrorMessage="true" sqref="Z241">
      <formula1>"Yes,No"</formula1>
    </dataValidation>
    <dataValidation type="list" operator="between" allowBlank="true" showInputMessage="true" showErrorMessage="true" sqref="Z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Z244">
      <formula1>0</formula1>
      <formula2>9.99</formula2>
    </dataValidation>
    <dataValidation type="decimal" operator="between" allowBlank="true" showInputMessage="true" showErrorMessage="true" errorTitle="SAR head (Watt/kg)" error="numeric format expected - for instance 9,999 - or length characters exceeded" sqref="Z245:Z246">
      <formula1>0</formula1>
      <formula2>9.99</formula2>
    </dataValidation>
    <dataValidation type="decimal" operator="between" allowBlank="true" showInputMessage="true" showErrorMessage="true" errorTitle="Production value (kg CO2eq) " error="Numeric expected with max size 99,99" sqref="Z249">
      <formula1>0</formula1>
      <formula2>99.99</formula2>
    </dataValidation>
    <dataValidation type="decimal" operator="between" allowBlank="true" showInputMessage="true" showErrorMessage="true" errorTitle="Transportation value (kg CO2eq)" error="Numeric expected with max size 99,99" sqref="Z250">
      <formula1>0</formula1>
      <formula2>99.99</formula2>
    </dataValidation>
    <dataValidation type="list" operator="between" allowBlank="true" showInputMessage="true" showErrorMessage="true" error="Integer expected with max size 100" sqref="Z252">
      <formula1>"R02,R03,R04,R05"</formula1>
    </dataValidation>
    <dataValidation type="decimal" operator="between" allowBlank="true" showInputMessage="true" showErrorMessage="true" errorTitle="Production value (kg CO2eq) " error="Numeric expected with max size 99,99" sqref="Z253">
      <formula1>0</formula1>
      <formula2>99.99</formula2>
    </dataValidation>
    <dataValidation type="decimal" operator="between" allowBlank="true" showInputMessage="true" showErrorMessage="true" errorTitle="Adjustment for memory variant" error="-101&lt;Value expected&lt;101" sqref="Z254">
      <formula1>-100.99</formula1>
      <formula2>100.99</formula2>
    </dataValidation>
    <dataValidation type="decimal" operator="between" allowBlank="true" showInputMessage="true" showErrorMessage="true" errorTitle="Transportation value (kg CO2eq)" error="Numeric expected with max size 99,99" sqref="Z255">
      <formula1>0</formula1>
      <formula2>99.99</formula2>
    </dataValidation>
    <dataValidation type="decimal" operator="between" allowBlank="true" showInputMessage="true" showErrorMessage="true" errorTitle="Production value (kg CO2eq) " error="Numeric expected with max size 99,99" sqref="Z257">
      <formula1>0</formula1>
      <formula2>99.99</formula2>
    </dataValidation>
    <dataValidation type="decimal" operator="between" allowBlank="true" showInputMessage="true" showErrorMessage="true" errorTitle="Adjustment for memory variant" error="-101&lt;Value expected&lt;101" sqref="Z258">
      <formula1>-100.99</formula1>
      <formula2>100.99</formula2>
    </dataValidation>
    <dataValidation type="decimal" operator="between" allowBlank="true" showInputMessage="true" showErrorMessage="true" errorTitle="Transportation value (kg CO2eq)" error="Numeric expected with max size 99,99" sqref="Z259">
      <formula1>0</formula1>
      <formula2>99.99</formula2>
    </dataValidation>
    <dataValidation type="list" operator="between" allowBlank="true" showInputMessage="true" showErrorMessage="true" sqref="Z260">
      <formula1>"World,EU,MEA"</formula1>
    </dataValidation>
    <dataValidation type="whole" operator="between" allowBlank="true" showInputMessage="true" showErrorMessage="true" error="Integer expected with max size 100" sqref="Z265">
      <formula1>43101</formula1>
      <formula2>54788</formula2>
    </dataValidation>
    <dataValidation type="decimal" operator="between" allowBlank="true" showInputMessage="true" showErrorMessage="true" error="Numeric range expected from 0,00 to 999,99" sqref="Z266">
      <formula1>0</formula1>
      <formula2>999.99</formula2>
    </dataValidation>
    <dataValidation type="date" operator="between" allowBlank="true" showInputMessage="true" showErrorMessage="true" error="Integer expected with max size 100" sqref="Z267">
      <formula1>43101</formula1>
      <formula2>54788</formula2>
    </dataValidation>
    <dataValidation type="decimal" operator="between" allowBlank="true" showInputMessage="true" showErrorMessage="true" error="Numeric range expected from 0,00 to 999,99" sqref="Z268">
      <formula1>0</formula1>
      <formula2>999.99</formula2>
    </dataValidation>
    <dataValidation type="whole" operator="between" allowBlank="true" showInputMessage="true" showErrorMessage="true" error="Integer expected with max size 100" sqref="Z272">
      <formula1>43101</formula1>
      <formula2>54788</formula2>
    </dataValidation>
    <dataValidation type="decimal" operator="between" allowBlank="true" showInputMessage="true" showErrorMessage="true" error="Numeric range expected from 0,00 to 999,99" sqref="Z273">
      <formula1>0</formula1>
      <formula2>999.99</formula2>
    </dataValidation>
    <dataValidation type="date" operator="between" allowBlank="true" showInputMessage="true" showErrorMessage="true" error="Integer expected with max size 100" sqref="Z274">
      <formula1>43101</formula1>
      <formula2>54788</formula2>
    </dataValidation>
    <dataValidation type="decimal" operator="between" allowBlank="true" showInputMessage="true" showErrorMessage="true" error="Numeric range expected from 0,00 to 999,99" sqref="Z275">
      <formula1>0</formula1>
      <formula2>999.99</formula2>
    </dataValidation>
    <dataValidation type="whole" operator="between" allowBlank="true" showInputMessage="true" showErrorMessage="true" error="Integer expected with max size 100" sqref="Z279">
      <formula1>43101</formula1>
      <formula2>54788</formula2>
    </dataValidation>
    <dataValidation type="decimal" operator="between" allowBlank="true" showInputMessage="true" showErrorMessage="true" error="Numeric range expected from 0,00 to 999,99" sqref="Z280">
      <formula1>0</formula1>
      <formula2>999.99</formula2>
    </dataValidation>
    <dataValidation type="date" operator="between" allowBlank="true" showInputMessage="true" showErrorMessage="true" error="Integer expected with max size 100" sqref="Z281">
      <formula1>43101</formula1>
      <formula2>54788</formula2>
    </dataValidation>
    <dataValidation type="decimal" operator="between" allowBlank="true" showInputMessage="true" showErrorMessage="true" error="Numeric range expected from 0,00 to 999,99" sqref="Z282">
      <formula1>0</formula1>
      <formula2>999.99</formula2>
    </dataValidation>
    <dataValidation type="textLength" errorStyle="stop" operator="between" allowBlank="true" showDropDown="false" showInputMessage="true" showErrorMessage="true" prompt="" sqref="AA2">
      <formula1>1</formula1>
      <formula2>10000</formula2>
    </dataValidation>
    <dataValidation type="list" operator="between" allowBlank="true" showInputMessage="true" showErrorMessage="true" sqref="AA6">
      <formula1>"Mobile,Tablet"</formula1>
    </dataValidation>
    <dataValidation type="textLength" operator="between" allowBlank="true" showInputMessage="true" showErrorMessage="true" errorTitle="Brand name" error="Alphanumeric size from 3 to 50 characters" sqref="AA7">
      <formula1>3</formula1>
      <formula2>50</formula2>
    </dataValidation>
    <dataValidation type="textLength" operator="between" allowBlank="true" showInputMessage="true" showErrorMessage="true" errorTitle="GCF Model name" error="Alphanumeric size 64 characters exceeded" sqref="AA8">
      <formula1>0</formula1>
      <formula2>64</formula2>
    </dataValidation>
    <dataValidation type="textLength" operator="between" allowBlank="true" showInputMessage="true" showErrorMessage="true" errorTitle="Comments" error="Alphanumeric size 2000 characters exceeded" sqref="AA9">
      <formula1>0</formula1>
      <formula2>2000</formula2>
    </dataValidation>
    <dataValidation type="date" operator="between" allowBlank="true" showErrorMessage="true" errorTitle="Marketing samples availability" error="Date expected" sqref="AA10">
      <formula1>43101</formula1>
      <formula2>54788</formula2>
    </dataValidation>
    <dataValidation type="date" operator="between" allowBlank="true" showErrorMessage="true" errorTitle="Technical samples availability" error="Date expected" sqref="AA11">
      <formula1>43101</formula1>
      <formula2>54788</formula2>
    </dataValidation>
    <dataValidation type="date" operator="between" allowBlank="true" showErrorMessage="true" errorTitle="Expected Generic Street Launch" error="Date expected" sqref="AA12">
      <formula1>43101</formula1>
      <formula2>54788</formula2>
    </dataValidation>
    <dataValidation type="date" operator="between" allowBlank="true" showErrorMessage="true" errorTitle="Expected availability warehouse" error="Date expected" sqref="AA13">
      <formula1>43101</formula1>
      <formula2>54788</formula2>
    </dataValidation>
    <dataValidation type="date" operator="between" allowBlank="true" showErrorMessage="true" errorTitle="GCF date" error="Date expected" sqref="AA14:AA15">
      <formula1>43101</formula1>
      <formula2>54788</formula2>
    </dataValidation>
    <dataValidation type="date" operator="between" allowBlank="true" showErrorMessage="true" errorTitle="Wi-Fi alliance date" error="Date expected" sqref="AA16">
      <formula1>43101</formula1>
      <formula2>54788</formula2>
    </dataValidation>
    <dataValidation type="list" operator="between" allowBlank="true" showInputMessage="true" showErrorMessage="true" sqref="AA17">
      <formula1>"Flagship,Everyday Superphone,Essential Smartphone,Voice,Not applicable"</formula1>
    </dataValidation>
    <dataValidation type="decimal" operator="between" allowBlank="true" showInputMessage="true" showErrorMessage="true" errorTitle="Repairability index" error="Numeric expected with max size 10,00" sqref="AA18">
      <formula1>0</formula1>
      <formula2>10</formula2>
    </dataValidation>
    <dataValidation type="textLength" operator="between" allowBlank="true" showInputMessage="true" showErrorMessage="true" errorTitle="Comments" error="Alphanumeric size 2000 characters exceeded" sqref="AA19">
      <formula1>0</formula1>
      <formula2>2000</formula2>
    </dataValidation>
    <dataValidation type="textLength" operator="between" allowBlank="true" showInputMessage="true" showErrorMessage="true" errorTitle="Commercial name" error="Alphanumeric size 120 characters exceeded" sqref="AA21">
      <formula1>0</formula1>
      <formula2>120</formula2>
    </dataValidation>
    <dataValidation type="textLength" operator="between" allowBlank="true" showInputMessage="true" showErrorMessage="true" errorTitle="Orange Variant name" error="Alphanumeric size 120 characters exceeded" sqref="AA22">
      <formula1>0</formula1>
      <formula2>240</formula2>
    </dataValidation>
    <dataValidation type="list" operator="between" allowBlank="true" showInputMessage="true" showErrorMessage="true" sqref="AA23">
      <formula1>"ODM - OBD, ODM - Not OBD"</formula1>
    </dataValidation>
    <dataValidation type="list" operator="between" allowBlank="true" showInputMessage="true" showErrorMessage="true" sqref="AA24">
      <formula1>"Flagship,Everyday Superphone,Essential Smartphone,Voice,Not applicable"</formula1>
    </dataValidation>
    <dataValidation type="list" operator="between" allowBlank="true" showInputMessage="true" showErrorMessage="true" sqref="AA25">
      <formula1>"Essential Smartphone High,Essential Smartphone Entry,Not applicable"</formula1>
    </dataValidation>
    <dataValidation type="list" operator="between" allowBlank="true" showInputMessage="true" showErrorMessage="true" sqref="AA28">
      <formula1>"Apple,Altair,ASR,Broadcom,Gemalto,HiSilicon,Huawei,Infineon,Intel,Marvell,Mediatek,Nokia,Nvidia,Qualcomm,Quectel,Samsung,Sequans,Sierra Wireless,SIMCom,Spreadtrum,STEricsson,Telit,Unisoc,U-Blox"</formula1>
    </dataValidation>
    <dataValidation type="textLength" operator="between" allowBlank="true" showInputMessage="true" showErrorMessage="true" errorTitle="Hardware Platform name" error="Alphanumeric size 50 characters exceeded" sqref="AA29">
      <formula1>0</formula1>
      <formula2>50</formula2>
    </dataValidation>
    <dataValidation type="textLength" operator="between" allowBlank="true" showInputMessage="true" showErrorMessage="true" errorTitle="Hardware Platform ref name" error="Alphanumeric size 50 characters exceeded" sqref="AA30">
      <formula1>0</formula1>
      <formula2>50</formula2>
    </dataValidation>
    <dataValidation type="list" operator="between" allowBlank="true" showInputMessage="true" showErrorMessage="true" sqref="AA31">
      <formula1>='Listes deroulantes'!$U$2:$U$28</formula1>
    </dataValidation>
    <dataValidation type="textLength" operator="between" allowBlank="true" showInputMessage="true" showErrorMessage="true" errorTitle="Baseband chipset name" error="Alphanumeric size 50 characters exceeded" sqref="AA32">
      <formula1>0</formula1>
      <formula2>50</formula2>
    </dataValidation>
    <dataValidation type="list" operator="between" allowBlank="true" showInputMessage="true" showErrorMessage="true" sqref="AA33">
      <formula1>"0,1,2,3,4,6,8,Others"</formula1>
    </dataValidation>
    <dataValidation type="list" operator="between" allowBlank="true" showInputMessage="true" showErrorMessage="true" sqref="AA36">
      <formula1>"Android,BlackBerry,Firefox,iOS,iPadOS,KaiOS,Symbian,Tizen,Windows,Windows Phone,Proprietary,Other"</formula1>
    </dataValidation>
    <dataValidation type="textLength" operator="between" allowBlank="true" showInputMessage="true" showErrorMessage="true" errorTitle="Operating System version" error="Alphanumeric size 10 characters exceeded" sqref="AA37">
      <formula1>0</formula1>
      <formula2>10</formula2>
    </dataValidation>
    <dataValidation type="textLength" operator="between" allowBlank="true" showInputMessage="true" showErrorMessage="true" errorTitle="Nb of OS Android patch upgrade" error="Integer size 2 characters exceeded" sqref="AA38">
      <formula1>0</formula1>
      <formula2>2</formula2>
    </dataValidation>
    <dataValidation type="textLength" operator="between" allowBlank="true" showInputMessage="true" showErrorMessage="true" errorTitle="OS Android patch upgrade (years)" error="Integer size 2 characters exceeded" sqref="AA39">
      <formula1>0</formula1>
      <formula2>2</formula2>
    </dataValidation>
    <dataValidation type="list" operator="between" allowBlank="true" showInputMessage="true" showErrorMessage="true" errorTitle="Frequency Android OS security" error="Value not allowed, select value from drop down menu" sqref="AA40">
      <formula1>"Monthly,Quarterly,Half-yearly,Yearly"</formula1>
    </dataValidation>
    <dataValidation type="list" operator="between" allowBlank="true" showInputMessage="true" showErrorMessage="true" sqref="AA42:AA48">
      <formula1>"Yes,No"</formula1>
    </dataValidation>
    <dataValidation type="list" operator="between" allowBlank="true" showInputMessage="true" showErrorMessage="true" sqref="AA49">
      <formula1>"FDD,TDD,FDD / TDD"</formula1>
    </dataValidation>
    <dataValidation type="list" operator="between" allowBlank="true" showInputMessage="true" showErrorMessage="true" sqref="AA50">
      <formula1>='Listes deroulantes'!$A$2:$A$32</formula1>
    </dataValidation>
    <dataValidation type="list" operator="between" allowBlank="true" showInputMessage="true" showErrorMessage="true" sqref="AA51">
      <formula1>='Listes deroulantes'!$E$2:$E$26</formula1>
    </dataValidation>
    <dataValidation type="list" operator="between" allowBlank="true" showInputMessage="true" showErrorMessage="true" sqref="AA52">
      <formula1>='Listes deroulantes'!$C$2:$C$23</formula1>
    </dataValidation>
    <dataValidation type="list" operator="between" allowBlank="true" showInputMessage="true" showErrorMessage="true" sqref="AA53:AA56">
      <formula1>"Yes,No"</formula1>
    </dataValidation>
    <dataValidation type="list" operator="between" allowBlank="true" showInputMessage="true" showErrorMessage="true" sqref="AA57">
      <formula1>"No,2x2,4x4,4x2"</formula1>
    </dataValidation>
    <dataValidation type="list" operator="between" allowBlank="true" showInputMessage="true" showErrorMessage="true" sqref="AA58">
      <formula1>"No,2x2"</formula1>
    </dataValidation>
    <dataValidation type="list" operator="between" allowBlank="true" showInputMessage="true" showErrorMessage="true" sqref="AA59">
      <formula1>"No,2,3,4,5,6,7,8"</formula1>
    </dataValidation>
    <dataValidation type="list" operator="between" allowBlank="true" showInputMessage="true" showErrorMessage="true" sqref="AA60">
      <formula1>='Listes deroulantes'!$G$2:$G$5</formula1>
    </dataValidation>
    <dataValidation type="list" operator="between" allowBlank="true" showInputMessage="true" showErrorMessage="true" sqref="AA61">
      <formula1>='Listes deroulantes'!$I$2:$I$3</formula1>
    </dataValidation>
    <dataValidation type="list" operator="between" allowBlank="true" showInputMessage="true" showErrorMessage="true" sqref="AA62">
      <formula1>='Listes deroulantes'!$K$2:$K$4</formula1>
    </dataValidation>
    <dataValidation type="list" operator="between" allowBlank="true" showInputMessage="true" showErrorMessage="true" sqref="AA64:AA97">
      <formula1>"Yes,No"</formula1>
    </dataValidation>
    <dataValidation type="list" operator="between" allowBlank="true" showInputMessage="true" showErrorMessage="true" sqref="AA98:AA99">
      <formula1>='Listes deroulantes'!$I$2:$I$3</formula1>
    </dataValidation>
    <dataValidation type="list" operator="between" allowBlank="true" showInputMessage="true" showErrorMessage="true" sqref="AA100">
      <formula1>='Listes deroulantes'!$M$2:$M$18</formula1>
    </dataValidation>
    <dataValidation type="list" operator="between" allowBlank="true" showInputMessage="true" showErrorMessage="true" sqref="AA101">
      <formula1>='Listes deroulantes'!$O$2:$O$4</formula1>
    </dataValidation>
    <dataValidation type="decimal" operator="between" allowBlank="true" showInputMessage="true" showErrorMessage="true" errorTitle="Weight (g)" error="numeric format expected - for instance 999,99 maximum - or length characters exceeded" sqref="AA103:AA106">
      <formula1>0</formula1>
      <formula2>999.99</formula2>
    </dataValidation>
    <dataValidation type="list" operator="between" allowBlank="true" showInputMessage="true" showErrorMessage="true" sqref="AA107">
      <formula1>"Bar,Messenger bar,Clamshell,Slide,Touch,Messenger/sliding touch,Other"</formula1>
    </dataValidation>
    <dataValidation type="list" operator="between" allowBlank="true" showInputMessage="true" showErrorMessage="true" sqref="AA108:AA109">
      <formula1>"Yes,No"</formula1>
    </dataValidation>
    <dataValidation type="list" operator="between" allowBlank="true" showInputMessage="true" showErrorMessage="true" sqref="AA110">
      <formula1>"Hard AZERTY/QWERTY,Touch AZERTY/QWERTY,Hard 20 keys,Numeric keypad only	"</formula1>
    </dataValidation>
    <dataValidation type="list" operator="between" allowBlank="true" showInputMessage="true" showErrorMessage="true" sqref="AA111">
      <formula1>"Yes,No"</formula1>
    </dataValidation>
    <dataValidation type="list" operator="between" allowBlank="true" showInputMessage="true" showErrorMessage="true" sqref="AA112">
      <formula1>"2m,1.8m,1.5m,1.2m,1.0m,&lt;1.0m"</formula1>
    </dataValidation>
    <dataValidation type="list" operator="between" allowBlank="true" showInputMessage="true" showErrorMessage="true" sqref="AA113">
      <formula1>"IP52,IP54,IP57,IP58,IP64,IP67,IP68,Not known,Other"</formula1>
    </dataValidation>
    <dataValidation type="list" operator="between" allowBlank="true" showInputMessage="true" showErrorMessage="true" sqref="AA114:AA115">
      <formula1>"Yes,No"</formula1>
    </dataValidation>
    <dataValidation type="decimal" operator="between" allowBlank="true" showInputMessage="true" showErrorMessage="true" errorTitle="Screen size (in inches) diagonal" error="numeric format expected - for instance 99,99 - or length characters exceeded" sqref="AA117">
      <formula1>0</formula1>
      <formula2>99.99</formula2>
    </dataValidation>
    <dataValidation type="whole" operator="between" allowBlank="true" showInputMessage="true" showErrorMessage="true" errorTitle="Width (px)" error="Integer size 4 expected or lenght characters exceeded" sqref="AA118">
      <formula1>0</formula1>
      <formula2>9999</formula2>
    </dataValidation>
    <dataValidation type="whole" operator="between" allowBlank="true" showInputMessage="true" showErrorMessage="true" errorTitle="Height (px)" error="Integer size 4 expected or lenght characters exceeded" sqref="AA119">
      <formula1>0</formula1>
      <formula2>9999</formula2>
    </dataValidation>
    <dataValidation type="list" operator="between" allowBlank="true" showInputMessage="true" showErrorMessage="true" sqref="AA120">
      <formula1>"AMOLED,CSTN,FFS,FS,IGZO,IPS HD,LCD - IPS,LCD - LPS,MSTN,MVA,Other,PLS,PMOLED,PVA,SLCD 2,SLCD 3,STN,Super AMOLED,TFD,TFT,TN,UFB,VA"</formula1>
    </dataValidation>
    <dataValidation type="whole" operator="between" allowBlank="true" showInputMessage="true" showErrorMessage="true" errorTitle="Resolution density (PPI)" error="Integer size 4 expected or lenght characters exceeded" sqref="AA121">
      <formula1>0</formula1>
      <formula2>9999</formula2>
    </dataValidation>
    <dataValidation type="textLength" operator="between" allowBlank="true" showInputMessage="true" showErrorMessage="true" errorTitle="Contrast ratio" error="Expected length 0&lt;= value length &lt;51" sqref="AA122">
      <formula1>0</formula1>
      <formula2>50</formula2>
    </dataValidation>
    <dataValidation type="textLength" operator="between" allowBlank="true" showInputMessage="true" showErrorMessage="true" errorTitle="Brightness (cd/m2)" error="Expected length 0&lt;= value length &lt;51" sqref="AA123">
      <formula1>0</formula1>
      <formula2>50</formula2>
    </dataValidation>
    <dataValidation type="list" operator="between" allowBlank="true" showInputMessage="true" showErrorMessage="true" sqref="AA124:AA126">
      <formula1>"Yes,No"</formula1>
    </dataValidation>
    <dataValidation type="list" operator="between" allowBlank="true" showInputMessage="true" showErrorMessage="true" sqref="AA128">
      <formula1>"Yes,No"</formula1>
    </dataValidation>
    <dataValidation type="list" operator="between" allowBlank="true" showInputMessage="true" showErrorMessage="true" sqref="AA129">
      <formula1>"No,2,3,4,5,More"</formula1>
    </dataValidation>
    <dataValidation type="list" operator="between" allowBlank="true" showInputMessage="true" showErrorMessage="true" sqref="AA130">
      <formula1>"No,2FF,3FF (MicroSIM),4FF (nano SIM),e-SIM,e-SIM or 4FF (nano SIM)"</formula1>
    </dataValidation>
    <dataValidation type="list" operator="between" allowBlank="true" showInputMessage="true" showErrorMessage="true" sqref="AA132">
      <formula1>='Listes deroulantes'!$U$2:$U$28</formula1>
    </dataValidation>
    <dataValidation type="textLength" operator="between" allowBlank="true" showInputMessage="true" showErrorMessage="true" errorTitle="Wi-FI chipset name" error="Alphanumeric size 50 characters exceeded" sqref="AA133">
      <formula1>0</formula1>
      <formula2>50</formula2>
    </dataValidation>
    <dataValidation type="list" operator="between" allowBlank="true" showInputMessage="true" showErrorMessage="true" sqref="AA134:AA148">
      <formula1>"Yes,No"</formula1>
    </dataValidation>
    <dataValidation type="list" operator="between" allowBlank="true" showInputMessage="true" showErrorMessage="true" sqref="AA149">
      <formula1>"2x2,4x4,6x6,8x8"</formula1>
    </dataValidation>
    <dataValidation type="list" operator="between" allowBlank="true" showInputMessage="true" showErrorMessage="true" sqref="AA150">
      <formula1>='Listes deroulantes'!$V$2:$V$16</formula1>
    </dataValidation>
    <dataValidation type="textLength" operator="between" allowBlank="true" showInputMessage="true" showErrorMessage="true" errorTitle="Bluetooth Profile" error="Alphanumeric size 100 characters exceeded" sqref="AA151">
      <formula1>0</formula1>
      <formula2>100</formula2>
    </dataValidation>
    <dataValidation type="list" operator="between" allowBlank="true" showInputMessage="true" showErrorMessage="true" sqref="AA152:AA154">
      <formula1>"Yes,No"</formula1>
    </dataValidation>
    <dataValidation type="list" operator="between" allowBlank="true" showInputMessage="true" showErrorMessage="true" sqref="AA158">
      <formula1>"No,A-GPS,GPS Standalone,GNSS"</formula1>
    </dataValidation>
    <dataValidation type="list" operator="between" allowBlank="true" showInputMessage="true" showErrorMessage="true" sqref="AA159">
      <formula1>='Listes deroulantes'!$Q$2:$Q$10</formula1>
    </dataValidation>
    <dataValidation type="list" operator="between" allowBlank="true" showInputMessage="true" showErrorMessage="true" sqref="AA160">
      <formula1>='Listes deroulantes'!$W$2:$W$9</formula1>
    </dataValidation>
    <dataValidation type="list" operator="between" allowBlank="true" showInputMessage="true" showErrorMessage="true" sqref="AA161:AA166">
      <formula1>"Yes,No"</formula1>
    </dataValidation>
    <dataValidation type="list" operator="between" allowBlank="true" showInputMessage="true" showErrorMessage="true" sqref="AA168:AA172">
      <formula1>"Yes,No"</formula1>
    </dataValidation>
    <dataValidation type="whole" operator="between" allowBlank="true" showInputMessage="true" showErrorMessage="true" errorTitle="Battery capacity (mAh)" error="Integer size 5 expected or lenght characters exceeded" sqref="AA176">
      <formula1>0</formula1>
      <formula2>99999</formula2>
    </dataValidation>
    <dataValidation type="list" operator="between" allowBlank="true" showInputMessage="true" showErrorMessage="true" sqref="AA177">
      <formula1>"Li-Ion,Li-Poly,Li-Ion-Poly,Li-Technology,NiMH"</formula1>
    </dataValidation>
    <dataValidation type="list" operator="between" allowBlank="true" showInputMessage="true" showErrorMessage="true" sqref="AA178">
      <formula1>"Yes,No"</formula1>
    </dataValidation>
    <dataValidation type="list" operator="between" allowBlank="true" showInputMessage="true" showErrorMessage="true" sqref="AA179">
      <formula1>"No,Qi,Other"</formula1>
    </dataValidation>
    <dataValidation type="list" operator="between" allowBlank="true" showInputMessage="true" showErrorMessage="true" sqref="AA180">
      <formula1>"No,Pump Express,Quick Charge 2.0,Other"</formula1>
    </dataValidation>
    <dataValidation type="list" operator="between" allowBlank="true" showInputMessage="true" showErrorMessage="true" sqref="AA182">
      <formula1>"2TB,1TB,512GB,256GB,128GB,64GB,32GB,16GB,8GB,4GB,2GB,1GB,512MB,256MB,128MB"</formula1>
    </dataValidation>
    <dataValidation type="list" operator="between" allowBlank="true" showInputMessage="true" showErrorMessage="true" sqref="AA183:AA186">
      <formula1>"Yes,No"</formula1>
    </dataValidation>
    <dataValidation type="list" operator="between" allowBlank="true" showErrorMessage="true" sqref="AA187">
      <formula1>='Listes deroulantes'!$S$2:$S$28</formula1>
    </dataValidation>
    <dataValidation type="list" operator="between" allowBlank="true" showInputMessage="true" showErrorMessage="true" sqref="AA189:AA198">
      <formula1>"Yes,No"</formula1>
    </dataValidation>
    <dataValidation type="list" operator="between" allowBlank="true" showInputMessage="true" showErrorMessage="true" sqref="AA200:AA202">
      <formula1>"Yes,No"</formula1>
    </dataValidation>
    <dataValidation type="list" operator="between" allowBlank="true" showInputMessage="true" showErrorMessage="true" sqref="AA203">
      <formula1>"No,Picture Basic,Picture Rich,Video Basic,Video Rich,Megapixel,"</formula1>
    </dataValidation>
    <dataValidation type="list" operator="between" allowBlank="true" showInputMessage="true" showErrorMessage="true" sqref="AA204">
      <formula1>"600 kB,300 kB,100 kB,30 kB"</formula1>
    </dataValidation>
    <dataValidation type="list" operator="between" allowBlank="true" showInputMessage="true" showErrorMessage="true" sqref="AA205">
      <formula1>"No,Android Messages,OEM native messenger"</formula1>
    </dataValidation>
    <dataValidation type="list" operator="between" allowBlank="true" showInputMessage="true" showErrorMessage="true" sqref="AA207">
      <formula1>"No,Integrated,Integrated AND Autofocus"</formula1>
    </dataValidation>
    <dataValidation type="list" operator="between" allowBlank="true" showInputMessage="true" showErrorMessage="true" sqref="AA208">
      <formula1>"1,2,3,4,5"</formula1>
    </dataValidation>
    <dataValidation type="decimal" operator="between" allowBlank="true" showInputMessage="true" showErrorMessage="true" errorTitle="Main Camera1 resolution (Mpx)" error="numeric format expected - for instance 999,99 - or length characters exceeded" sqref="AA209">
      <formula1>0</formula1>
      <formula2>999.99</formula2>
    </dataValidation>
    <dataValidation type="decimal" operator="between" allowBlank="true" showInputMessage="true" showErrorMessage="true" errorTitle="Main Camera2 resolution (Mpx)" error="numeric format expected - for instance 999,99 - or length characters exceeded" sqref="AA210">
      <formula1>0</formula1>
      <formula2>999.99</formula2>
    </dataValidation>
    <dataValidation type="decimal" operator="between" allowBlank="true" showInputMessage="true" showErrorMessage="true" errorTitle="Main Camera3 resolution (Mpx)" error="numeric format expected - for instance 999,99 - or length characters exceeded" sqref="AA211">
      <formula1>0</formula1>
      <formula2>999.99</formula2>
    </dataValidation>
    <dataValidation type="decimal" operator="between" allowBlank="true" showInputMessage="true" showErrorMessage="true" errorTitle="Main Camera4 resolution (Mpx)" error="numeric format expected - for instance 999,99 - or length characters exceeded" sqref="AA212">
      <formula1>0</formula1>
      <formula2>999.99</formula2>
    </dataValidation>
    <dataValidation type="decimal" operator="between" allowBlank="true" showInputMessage="true" showErrorMessage="true" errorTitle="Main Camera5 resolution (Mpx)" error="numeric format expected - for instance 999,99 - or length characters exceeded" sqref="AA213">
      <formula1>0</formula1>
      <formula2>999.99</formula2>
    </dataValidation>
    <dataValidation type="list" operator="between" allowBlank="true" showInputMessage="true" showErrorMessage="true" sqref="AA214:AA215">
      <formula1>"Yes,No"</formula1>
    </dataValidation>
    <dataValidation type="textLength" operator="between" allowBlank="true" showInputMessage="true" showErrorMessage="true" errorTitle="Main Camera comments" error="Alphanumeric size 500 characters exceeded" sqref="AA216">
      <formula1>0</formula1>
      <formula2>500</formula2>
    </dataValidation>
    <dataValidation type="textLength" operator="between" allowBlank="true" showInputMessage="true" showErrorMessage="true" errorTitle="Main Camera Features" error="Alphanumeric size 500 characters exceeded" sqref="AA217">
      <formula1>0</formula1>
      <formula2>500</formula2>
    </dataValidation>
    <dataValidation type="textLength" operator="between" allowBlank="true" showInputMessage="true" showErrorMessage="true" errorTitle="Main Camera video" error="Alphanumeric size 500 characters exceeded" sqref="AA218">
      <formula1>0</formula1>
      <formula2>500</formula2>
    </dataValidation>
    <dataValidation type="list" operator="between" allowBlank="true" showInputMessage="true" showErrorMessage="true" sqref="AA219">
      <formula1>"f/0.30,f/0.60,f/0.70,f/0.75,f/0.80,f/0.85,f/0.90,f/0.95,f/1.0,f/1.1,f/1.2,f/1.3,f/1.4,f/1.5,f/1.6,f/1.7,f/1.8,f/1.9,f/2.0,f/2.1,f/2.2,f/2.3,f/2.4,f/2.5,f/2.8,f/2.9,f/3.0"</formula1>
    </dataValidation>
    <dataValidation type="list" operator="between" allowBlank="true" showInputMessage="true" showErrorMessage="true" sqref="AA220">
      <formula1>"Yes,No"</formula1>
    </dataValidation>
    <dataValidation type="list" operator="between" allowBlank="true" showInputMessage="true" showErrorMessage="true" sqref="AA221">
      <formula1>"No,LED,2 LED,Xenon,Other"</formula1>
    </dataValidation>
    <dataValidation type="list" operator="between" allowBlank="true" showInputMessage="true" showErrorMessage="true" sqref="AA223">
      <formula1>"No,Integrated,Integrated AND Autofocus"</formula1>
    </dataValidation>
    <dataValidation type="list" operator="between" allowBlank="true" showInputMessage="true" showErrorMessage="true" sqref="AA224">
      <formula1>"1,2"</formula1>
    </dataValidation>
    <dataValidation type="decimal" operator="between" allowBlank="true" showInputMessage="true" showErrorMessage="true" errorTitle="Selfie Camera1 resolution (Mpx)" error="numeric format expected - for instance 999,99 - or length characters exceeded" sqref="AA225">
      <formula1>0</formula1>
      <formula2>999.99</formula2>
    </dataValidation>
    <dataValidation type="decimal" operator="between" allowBlank="true" showInputMessage="true" showErrorMessage="true" errorTitle="Selfie Camera2 resolution (Mpx)" error="numeric format expected - for instance 999,99 - or length characters exceeded" sqref="AA226">
      <formula1>0</formula1>
      <formula2>999.99</formula2>
    </dataValidation>
    <dataValidation type="list" operator="between" allowBlank="true" showInputMessage="true" showErrorMessage="true" sqref="AA227:AA228">
      <formula1>"Yes,No"</formula1>
    </dataValidation>
    <dataValidation type="textLength" operator="between" allowBlank="true" showInputMessage="true" showErrorMessage="true" errorTitle="Selfie Camera comments" error="Alphanumeric size 500 characters exceeded" sqref="AA229">
      <formula1>0</formula1>
      <formula2>500</formula2>
    </dataValidation>
    <dataValidation type="textLength" operator="between" allowBlank="true" showInputMessage="true" showErrorMessage="true" errorTitle="Selfie Camera Features" error="Alphanumeric size 500 characters exceeded" sqref="AA230">
      <formula1>0</formula1>
      <formula2>500</formula2>
    </dataValidation>
    <dataValidation type="textLength" operator="between" allowBlank="true" showInputMessage="true" showErrorMessage="true" errorTitle="Selfie Camera video" error="Alphanumeric size 500 characters exceeded" sqref="AA231">
      <formula1>0</formula1>
      <formula2>500</formula2>
    </dataValidation>
    <dataValidation type="list" operator="between" allowBlank="true" showInputMessage="true" showErrorMessage="true" sqref="AA233:AA239">
      <formula1>"Yes,No"</formula1>
    </dataValidation>
    <dataValidation type="list" operator="between" allowBlank="true" showInputMessage="true" showErrorMessage="true" sqref="AA241">
      <formula1>"Yes,No"</formula1>
    </dataValidation>
    <dataValidation type="list" operator="between" allowBlank="true" showInputMessage="true" showErrorMessage="true" sqref="AA242">
      <formula1>"SMS,OMA client Provisioning v1.1,later OMA provisioning version,Other solution"</formula1>
    </dataValidation>
    <dataValidation type="decimal" operator="between" allowBlank="true" showInputMessage="true" showErrorMessage="true" errorTitle="SAR head (Watt/kg)" error="numeric format expected - for instance 9,99 - or length characters exceeded" sqref="AA244">
      <formula1>0</formula1>
      <formula2>9.99</formula2>
    </dataValidation>
    <dataValidation type="decimal" operator="between" allowBlank="true" showInputMessage="true" showErrorMessage="true" errorTitle="SAR head (Watt/kg)" error="numeric format expected - for instance 9,999 - or length characters exceeded" sqref="AA245:AA246">
      <formula1>0</formula1>
      <formula2>9.99</formula2>
    </dataValidation>
    <dataValidation type="decimal" operator="between" allowBlank="true" showInputMessage="true" showErrorMessage="true" errorTitle="Production value (kg CO2eq) " error="Numeric expected with max size 99,99" sqref="AA249">
      <formula1>0</formula1>
      <formula2>99.99</formula2>
    </dataValidation>
    <dataValidation type="decimal" operator="between" allowBlank="true" showInputMessage="true" showErrorMessage="true" errorTitle="Transportation value (kg CO2eq)" error="Numeric expected with max size 99,99" sqref="AA250">
      <formula1>0</formula1>
      <formula2>99.99</formula2>
    </dataValidation>
    <dataValidation type="list" operator="between" allowBlank="true" showInputMessage="true" showErrorMessage="true" error="Integer expected with max size 100" sqref="AA252">
      <formula1>"R02,R03,R04,R05"</formula1>
    </dataValidation>
    <dataValidation type="decimal" operator="between" allowBlank="true" showInputMessage="true" showErrorMessage="true" errorTitle="Production value (kg CO2eq) " error="Numeric expected with max size 99,99" sqref="AA253">
      <formula1>0</formula1>
      <formula2>99.99</formula2>
    </dataValidation>
    <dataValidation type="decimal" operator="between" allowBlank="true" showInputMessage="true" showErrorMessage="true" errorTitle="Adjustment for memory variant" error="-101&lt;Value expected&lt;101" sqref="AA254">
      <formula1>-100.99</formula1>
      <formula2>100.99</formula2>
    </dataValidation>
    <dataValidation type="decimal" operator="between" allowBlank="true" showInputMessage="true" showErrorMessage="true" errorTitle="Transportation value (kg CO2eq)" error="Numeric expected with max size 99,99" sqref="AA255">
      <formula1>0</formula1>
      <formula2>99.99</formula2>
    </dataValidation>
    <dataValidation type="decimal" operator="between" allowBlank="true" showInputMessage="true" showErrorMessage="true" errorTitle="Production value (kg CO2eq) " error="Numeric expected with max size 99,99" sqref="AA257">
      <formula1>0</formula1>
      <formula2>99.99</formula2>
    </dataValidation>
    <dataValidation type="decimal" operator="between" allowBlank="true" showInputMessage="true" showErrorMessage="true" errorTitle="Adjustment for memory variant" error="-101&lt;Value expected&lt;101" sqref="AA258">
      <formula1>-100.99</formula1>
      <formula2>100.99</formula2>
    </dataValidation>
    <dataValidation type="decimal" operator="between" allowBlank="true" showInputMessage="true" showErrorMessage="true" errorTitle="Transportation value (kg CO2eq)" error="Numeric expected with max size 99,99" sqref="AA259">
      <formula1>0</formula1>
      <formula2>99.99</formula2>
    </dataValidation>
    <dataValidation type="list" operator="between" allowBlank="true" showInputMessage="true" showErrorMessage="true" sqref="AA260">
      <formula1>"World,EU,MEA"</formula1>
    </dataValidation>
    <dataValidation type="whole" operator="between" allowBlank="true" showInputMessage="true" showErrorMessage="true" error="Integer expected with max size 100" sqref="AA265">
      <formula1>43101</formula1>
      <formula2>54788</formula2>
    </dataValidation>
    <dataValidation type="decimal" operator="between" allowBlank="true" showInputMessage="true" showErrorMessage="true" error="Numeric range expected from 0,00 to 999,99" sqref="AA266">
      <formula1>0</formula1>
      <formula2>999.99</formula2>
    </dataValidation>
    <dataValidation type="date" operator="between" allowBlank="true" showInputMessage="true" showErrorMessage="true" error="Integer expected with max size 100" sqref="AA267">
      <formula1>43101</formula1>
      <formula2>54788</formula2>
    </dataValidation>
    <dataValidation type="decimal" operator="between" allowBlank="true" showInputMessage="true" showErrorMessage="true" error="Numeric range expected from 0,00 to 999,99" sqref="AA268">
      <formula1>0</formula1>
      <formula2>999.99</formula2>
    </dataValidation>
    <dataValidation type="whole" operator="between" allowBlank="true" showInputMessage="true" showErrorMessage="true" error="Integer expected with max size 100" sqref="AA272">
      <formula1>43101</formula1>
      <formula2>54788</formula2>
    </dataValidation>
    <dataValidation type="decimal" operator="between" allowBlank="true" showInputMessage="true" showErrorMessage="true" error="Numeric range expected from 0,00 to 999,99" sqref="AA273">
      <formula1>0</formula1>
      <formula2>999.99</formula2>
    </dataValidation>
    <dataValidation type="date" operator="between" allowBlank="true" showInputMessage="true" showErrorMessage="true" error="Integer expected with max size 100" sqref="AA274">
      <formula1>43101</formula1>
      <formula2>54788</formula2>
    </dataValidation>
    <dataValidation type="decimal" operator="between" allowBlank="true" showInputMessage="true" showErrorMessage="true" error="Numeric range expected from 0,00 to 999,99" sqref="AA275">
      <formula1>0</formula1>
      <formula2>999.99</formula2>
    </dataValidation>
    <dataValidation type="whole" operator="between" allowBlank="true" showInputMessage="true" showErrorMessage="true" error="Integer expected with max size 100" sqref="AA279">
      <formula1>43101</formula1>
      <formula2>54788</formula2>
    </dataValidation>
    <dataValidation type="decimal" operator="between" allowBlank="true" showInputMessage="true" showErrorMessage="true" error="Numeric range expected from 0,00 to 999,99" sqref="AA280">
      <formula1>0</formula1>
      <formula2>999.99</formula2>
    </dataValidation>
    <dataValidation type="date" operator="between" allowBlank="true" showInputMessage="true" showErrorMessage="true" error="Integer expected with max size 100" sqref="AA281">
      <formula1>43101</formula1>
      <formula2>54788</formula2>
    </dataValidation>
    <dataValidation type="decimal" operator="between" allowBlank="true" showInputMessage="true" showErrorMessage="true" error="Numeric range expected from 0,00 to 999,99" sqref="AA282">
      <formula1>0</formula1>
      <formula2>999.99</formula2>
    </dataValidation>
  </dataValidations>
  <pageMargins left="0.7" right="0.7" top="0.75" bottom="0.75" header="0.3" footer="0.3"/>
  <pageSetup paperSize="9" orientation="portrait"/>
  <headerFooter>
    <oddFooter>&amp;C&amp;1#&amp;"Helvetica 75 Bold"&amp;8&amp;KED7D31Orange Restricted</oddFooter>
  </headerFooter>
  <drawing r:id="rId0"/>
</worksheet>
</file>

<file path=xl/worksheets/sheet2.xml><?xml version="1.0" encoding="utf-8"?>
<worksheet xmlns="http://schemas.openxmlformats.org/spreadsheetml/2006/main">
  <sheetPr codeName="Feuil2"/>
  <dimension ref="W32"/>
  <sheetViews>
    <sheetView showGridLines="true" topLeftCell="K1" workbookViewId="0"/>
  </sheetViews>
  <sheetFormatPr defaultColWidth="10.8164" defaultRowHeight="14.5"/>
  <cols>
    <col min="1" max="1" width="18.8164" bestFit="true" customWidth="true"/>
    <col min="2" max="2" width="3" bestFit="true" customWidth="true"/>
    <col min="3" max="3" width="18.8164" bestFit="true" customWidth="true"/>
    <col min="4" max="4" width="3" bestFit="true" customWidth="true"/>
    <col min="5" max="5" width="22.7266" bestFit="true" customWidth="true"/>
    <col min="6" max="6" width="3" bestFit="true" customWidth="true"/>
    <col min="7" max="7" width="44.2695" bestFit="true" customWidth="true"/>
    <col min="8" max="8" width="3" bestFit="true" customWidth="true"/>
    <col min="10" max="10" width="3" bestFit="true" customWidth="true"/>
    <col min="11" max="11" width="16.4531" bestFit="true" customWidth="true"/>
    <col min="12" max="12" width="3" bestFit="true" customWidth="true"/>
    <col min="13" max="13" width="25.8164" bestFit="true" customWidth="true"/>
    <col min="14" max="14" width="3" bestFit="true" customWidth="true"/>
    <col min="15" max="15" width="12.7266" bestFit="true" customWidth="true"/>
    <col min="16" max="16" width="3" bestFit="true" customWidth="true"/>
    <col min="17" max="17" width="12.7266" bestFit="true" customWidth="true"/>
    <col min="18" max="18" width="3" bestFit="true" customWidth="true"/>
    <col min="20" max="20" width="3" bestFit="true" customWidth="true"/>
    <col min="21" max="21" width="25.543" bestFit="true" customWidth="true"/>
    <col min="23" max="23" width="14.7266" bestFit="true" customWidth="true"/>
  </cols>
  <sheetData>
    <row r="1" spans="1:23" s="211" customFormat="true" ht="29">
      <c r="A1" s="4" t="s">
        <v>1</v>
      </c>
      <c r="C1" s="4" t="s">
        <v>2</v>
      </c>
      <c r="E1" s="4" t="s">
        <v>3</v>
      </c>
      <c r="G1" s="4" t="s">
        <v>4</v>
      </c>
      <c r="I1" s="4" t="s">
        <v>5</v>
      </c>
      <c r="K1" s="4" t="s">
        <v>6</v>
      </c>
      <c r="M1" s="5" t="s">
        <v>7</v>
      </c>
      <c r="O1" s="6" t="s">
        <v>8</v>
      </c>
      <c r="Q1" s="4" t="s">
        <v>9</v>
      </c>
      <c r="S1" s="4" t="s">
        <v>10</v>
      </c>
      <c r="U1" s="7" t="s">
        <v>11</v>
      </c>
      <c r="V1" s="4" t="s">
        <v>12</v>
      </c>
      <c r="W1" s="4" t="s">
        <v>13</v>
      </c>
    </row>
    <row r="2" spans="1:23">
      <c r="A2" s="8" t="s">
        <v>14</v>
      </c>
      <c r="C2" s="8" t="s">
        <v>15</v>
      </c>
      <c r="E2" s="8" t="s">
        <v>15</v>
      </c>
      <c r="G2" s="9" t="s">
        <v>16</v>
      </c>
      <c r="I2" s="9" t="s">
        <v>17</v>
      </c>
      <c r="K2" s="9" t="s">
        <v>18</v>
      </c>
      <c r="M2" s="9" t="s">
        <v>19</v>
      </c>
      <c r="O2" s="10" t="s">
        <v>20</v>
      </c>
      <c r="Q2" s="9" t="s">
        <v>16</v>
      </c>
      <c r="S2" s="11" t="s">
        <v>21</v>
      </c>
      <c r="U2" s="9" t="s">
        <v>22</v>
      </c>
      <c r="V2" s="9" t="s">
        <v>16</v>
      </c>
      <c r="W2" s="9" t="s">
        <v>16</v>
      </c>
    </row>
    <row r="3" spans="1:23">
      <c r="A3" s="8" t="s">
        <v>23</v>
      </c>
      <c r="C3" s="8" t="s">
        <v>24</v>
      </c>
      <c r="E3" s="8" t="s">
        <v>25</v>
      </c>
      <c r="G3" s="9" t="s">
        <v>26</v>
      </c>
      <c r="I3" s="9" t="s">
        <v>16</v>
      </c>
      <c r="K3" s="9" t="s">
        <v>27</v>
      </c>
      <c r="M3" s="9" t="s">
        <v>28</v>
      </c>
      <c r="O3" s="10" t="s">
        <v>29</v>
      </c>
      <c r="Q3" s="9" t="s">
        <v>30</v>
      </c>
      <c r="S3" s="11" t="s">
        <v>31</v>
      </c>
      <c r="U3" s="9" t="s">
        <v>32</v>
      </c>
      <c r="V3" s="9" t="s">
        <v>33</v>
      </c>
      <c r="W3" s="9" t="s">
        <v>34</v>
      </c>
    </row>
    <row r="4" spans="1:23">
      <c r="A4" s="8" t="s">
        <v>35</v>
      </c>
      <c r="C4" s="8" t="s">
        <v>36</v>
      </c>
      <c r="E4" s="8" t="s">
        <v>37</v>
      </c>
      <c r="G4" s="9" t="s">
        <v>38</v>
      </c>
      <c r="K4" s="9" t="s">
        <v>39</v>
      </c>
      <c r="M4" s="9" t="s">
        <v>40</v>
      </c>
      <c r="O4" s="12" t="s">
        <v>41</v>
      </c>
      <c r="Q4" s="9" t="s">
        <v>42</v>
      </c>
      <c r="S4" s="11" t="s">
        <v>43</v>
      </c>
      <c r="U4" s="9" t="s">
        <v>44</v>
      </c>
      <c r="V4" s="9" t="s">
        <v>45</v>
      </c>
      <c r="W4" s="9" t="s">
        <v>46</v>
      </c>
    </row>
    <row r="5" spans="1:23">
      <c r="A5" s="8" t="s">
        <v>47</v>
      </c>
      <c r="C5" s="8" t="s">
        <v>48</v>
      </c>
      <c r="E5" s="8" t="s">
        <v>49</v>
      </c>
      <c r="G5" s="9" t="s">
        <v>50</v>
      </c>
      <c r="M5" s="9" t="s">
        <v>51</v>
      </c>
      <c r="Q5" s="9" t="s">
        <v>52</v>
      </c>
      <c r="S5" s="11" t="s">
        <v>53</v>
      </c>
      <c r="U5" s="13" t="s">
        <v>54</v>
      </c>
      <c r="V5" s="9" t="s">
        <v>55</v>
      </c>
      <c r="W5" s="9" t="s">
        <v>56</v>
      </c>
    </row>
    <row r="6" spans="1:23">
      <c r="A6" s="8" t="s">
        <v>57</v>
      </c>
      <c r="C6" s="8" t="s">
        <v>58</v>
      </c>
      <c r="E6" s="8" t="s">
        <v>59</v>
      </c>
      <c r="M6" s="9" t="s">
        <v>60</v>
      </c>
      <c r="Q6" s="9" t="s">
        <v>61</v>
      </c>
      <c r="S6" s="11" t="s">
        <v>62</v>
      </c>
      <c r="U6" s="9" t="s">
        <v>63</v>
      </c>
      <c r="V6" s="9" t="s">
        <v>64</v>
      </c>
      <c r="W6" s="9" t="s">
        <v>65</v>
      </c>
    </row>
    <row r="7" spans="1:23">
      <c r="A7" s="8" t="s">
        <v>66</v>
      </c>
      <c r="C7" s="8" t="s">
        <v>67</v>
      </c>
      <c r="E7" s="8" t="s">
        <v>68</v>
      </c>
      <c r="M7" s="9" t="s">
        <v>69</v>
      </c>
      <c r="Q7" s="9" t="s">
        <v>70</v>
      </c>
      <c r="S7" s="11" t="s">
        <v>71</v>
      </c>
      <c r="U7" s="9" t="s">
        <v>72</v>
      </c>
      <c r="V7" s="9" t="s">
        <v>73</v>
      </c>
      <c r="W7" s="9" t="s">
        <v>74</v>
      </c>
    </row>
    <row r="8" spans="1:23">
      <c r="A8" s="8" t="s">
        <v>75</v>
      </c>
      <c r="C8" s="8" t="s">
        <v>76</v>
      </c>
      <c r="E8" s="8" t="s">
        <v>77</v>
      </c>
      <c r="M8" s="9" t="s">
        <v>78</v>
      </c>
      <c r="Q8" s="9" t="s">
        <v>79</v>
      </c>
      <c r="S8" s="9" t="s">
        <v>80</v>
      </c>
      <c r="U8" s="9" t="s">
        <v>81</v>
      </c>
      <c r="V8" s="9" t="s">
        <v>82</v>
      </c>
      <c r="W8" s="9" t="s">
        <v>83</v>
      </c>
    </row>
    <row r="9" spans="1:23">
      <c r="A9" s="8" t="s">
        <v>84</v>
      </c>
      <c r="C9" s="8" t="s">
        <v>85</v>
      </c>
      <c r="E9" s="8" t="s">
        <v>86</v>
      </c>
      <c r="M9" s="9" t="s">
        <v>87</v>
      </c>
      <c r="Q9" s="9" t="s">
        <v>88</v>
      </c>
      <c r="S9" s="9" t="s">
        <v>89</v>
      </c>
      <c r="U9" s="9" t="s">
        <v>90</v>
      </c>
      <c r="V9" s="9" t="s">
        <v>91</v>
      </c>
      <c r="W9" s="9" t="s">
        <v>92</v>
      </c>
    </row>
    <row r="10" spans="1:22">
      <c r="A10" s="8" t="s">
        <v>93</v>
      </c>
      <c r="C10" s="8" t="s">
        <v>94</v>
      </c>
      <c r="E10" s="8" t="s">
        <v>95</v>
      </c>
      <c r="M10" s="9" t="s">
        <v>96</v>
      </c>
      <c r="Q10" s="9" t="s">
        <v>97</v>
      </c>
      <c r="S10" s="9" t="s">
        <v>98</v>
      </c>
      <c r="U10" s="9" t="s">
        <v>99</v>
      </c>
      <c r="V10" s="9" t="s">
        <v>100</v>
      </c>
    </row>
    <row r="11" spans="1:22">
      <c r="A11" s="8" t="s">
        <v>101</v>
      </c>
      <c r="C11" s="8" t="s">
        <v>102</v>
      </c>
      <c r="E11" s="8" t="s">
        <v>103</v>
      </c>
      <c r="M11" s="9" t="s">
        <v>104</v>
      </c>
      <c r="S11" s="9" t="s">
        <v>105</v>
      </c>
      <c r="U11" s="9" t="s">
        <v>106</v>
      </c>
      <c r="V11" s="9" t="s">
        <v>107</v>
      </c>
    </row>
    <row r="12" spans="1:22">
      <c r="A12" s="8" t="s">
        <v>108</v>
      </c>
      <c r="C12" s="8" t="s">
        <v>109</v>
      </c>
      <c r="E12" s="8" t="s">
        <v>110</v>
      </c>
      <c r="M12" s="9" t="s">
        <v>111</v>
      </c>
      <c r="S12" s="9" t="s">
        <v>112</v>
      </c>
      <c r="U12" s="9" t="s">
        <v>113</v>
      </c>
      <c r="V12" s="9" t="s">
        <v>114</v>
      </c>
    </row>
    <row r="13" spans="1:22">
      <c r="A13" s="8" t="s">
        <v>115</v>
      </c>
      <c r="C13" s="8" t="s">
        <v>116</v>
      </c>
      <c r="E13" s="8" t="s">
        <v>117</v>
      </c>
      <c r="M13" s="13" t="s">
        <v>118</v>
      </c>
      <c r="S13" s="9" t="s">
        <v>119</v>
      </c>
      <c r="U13" s="9" t="s">
        <v>120</v>
      </c>
      <c r="V13" s="9" t="s">
        <v>121</v>
      </c>
    </row>
    <row r="14" spans="1:22">
      <c r="A14" s="8" t="s">
        <v>122</v>
      </c>
      <c r="C14" s="8" t="s">
        <v>123</v>
      </c>
      <c r="E14" s="8" t="s">
        <v>124</v>
      </c>
      <c r="M14" s="13" t="s">
        <v>125</v>
      </c>
      <c r="S14" s="9" t="s">
        <v>126</v>
      </c>
      <c r="U14" s="9" t="s">
        <v>127</v>
      </c>
      <c r="V14" s="9" t="s">
        <v>128</v>
      </c>
    </row>
    <row r="15" spans="1:22">
      <c r="A15" s="8" t="s">
        <v>129</v>
      </c>
      <c r="C15" s="8" t="s">
        <v>130</v>
      </c>
      <c r="E15" s="8" t="s">
        <v>131</v>
      </c>
      <c r="M15" s="13" t="s">
        <v>132</v>
      </c>
      <c r="S15" s="9" t="s">
        <v>133</v>
      </c>
      <c r="U15" s="9" t="s">
        <v>134</v>
      </c>
      <c r="V15" s="9" t="s">
        <v>135</v>
      </c>
    </row>
    <row r="16" spans="1:22">
      <c r="A16" s="8" t="s">
        <v>136</v>
      </c>
      <c r="C16" s="8" t="s">
        <v>137</v>
      </c>
      <c r="E16" s="8" t="s">
        <v>138</v>
      </c>
      <c r="M16" s="13" t="s">
        <v>139</v>
      </c>
      <c r="S16" s="9" t="s">
        <v>140</v>
      </c>
      <c r="U16" s="9" t="s">
        <v>141</v>
      </c>
      <c r="V16" s="9" t="s">
        <v>142</v>
      </c>
    </row>
    <row r="17" spans="1:21">
      <c r="A17" s="8" t="s">
        <v>143</v>
      </c>
      <c r="C17" s="8" t="s">
        <v>144</v>
      </c>
      <c r="E17" s="8" t="s">
        <v>145</v>
      </c>
      <c r="M17" s="13" t="s">
        <v>146</v>
      </c>
      <c r="S17" s="9" t="s">
        <v>147</v>
      </c>
      <c r="U17" s="9" t="s">
        <v>148</v>
      </c>
    </row>
    <row r="18" spans="1:21">
      <c r="A18" s="8" t="s">
        <v>149</v>
      </c>
      <c r="C18" s="8" t="s">
        <v>150</v>
      </c>
      <c r="E18" s="8" t="s">
        <v>151</v>
      </c>
      <c r="M18" s="13" t="s">
        <v>152</v>
      </c>
      <c r="S18" s="9" t="s">
        <v>153</v>
      </c>
      <c r="U18" s="9" t="s">
        <v>154</v>
      </c>
    </row>
    <row r="19" spans="1:21">
      <c r="A19" s="8" t="s">
        <v>155</v>
      </c>
      <c r="C19" s="13" t="s">
        <v>156</v>
      </c>
      <c r="E19" s="8" t="s">
        <v>157</v>
      </c>
      <c r="S19" s="9" t="s">
        <v>158</v>
      </c>
      <c r="U19" s="9" t="s">
        <v>159</v>
      </c>
    </row>
    <row r="20" spans="1:21">
      <c r="A20" s="8" t="s">
        <v>160</v>
      </c>
      <c r="C20" s="13" t="s">
        <v>161</v>
      </c>
      <c r="E20" s="8" t="s">
        <v>162</v>
      </c>
      <c r="S20" s="9" t="s">
        <v>163</v>
      </c>
      <c r="U20" s="9" t="s">
        <v>164</v>
      </c>
    </row>
    <row r="21" spans="1:21">
      <c r="A21" s="8" t="s">
        <v>165</v>
      </c>
      <c r="C21" s="13" t="s">
        <v>166</v>
      </c>
      <c r="E21" s="8" t="s">
        <v>167</v>
      </c>
      <c r="S21" s="9" t="s">
        <v>168</v>
      </c>
      <c r="U21" s="9" t="s">
        <v>169</v>
      </c>
    </row>
    <row r="22" spans="1:21">
      <c r="A22" s="8" t="s">
        <v>170</v>
      </c>
      <c r="C22" s="13" t="s">
        <v>171</v>
      </c>
      <c r="E22" s="13" t="s">
        <v>172</v>
      </c>
      <c r="S22" s="9" t="s">
        <v>173</v>
      </c>
      <c r="U22" s="9" t="s">
        <v>174</v>
      </c>
    </row>
    <row r="23" spans="1:21">
      <c r="A23" s="8" t="s">
        <v>175</v>
      </c>
      <c r="C23" s="13" t="s">
        <v>176</v>
      </c>
      <c r="E23" s="13" t="s">
        <v>177</v>
      </c>
      <c r="S23" s="9" t="s">
        <v>178</v>
      </c>
      <c r="U23" s="9" t="s">
        <v>179</v>
      </c>
    </row>
    <row r="24" spans="1:21">
      <c r="A24" s="8" t="s">
        <v>180</v>
      </c>
      <c r="E24" s="13" t="s">
        <v>181</v>
      </c>
      <c r="S24" s="9" t="s">
        <v>182</v>
      </c>
      <c r="U24" s="9" t="s">
        <v>183</v>
      </c>
    </row>
    <row r="25" spans="1:21">
      <c r="A25" s="8" t="s">
        <v>184</v>
      </c>
      <c r="E25" s="13" t="s">
        <v>185</v>
      </c>
      <c r="S25" s="9" t="s">
        <v>186</v>
      </c>
      <c r="U25" s="9" t="s">
        <v>187</v>
      </c>
    </row>
    <row r="26" spans="1:21">
      <c r="A26" s="8" t="s">
        <v>188</v>
      </c>
      <c r="E26" s="13" t="s">
        <v>189</v>
      </c>
      <c r="S26" s="9" t="s">
        <v>190</v>
      </c>
      <c r="U26" s="9" t="s">
        <v>191</v>
      </c>
    </row>
    <row r="27" spans="1:21">
      <c r="A27" s="8" t="s">
        <v>192</v>
      </c>
      <c r="S27" s="9" t="s">
        <v>193</v>
      </c>
      <c r="U27" s="9" t="s">
        <v>194</v>
      </c>
    </row>
    <row r="28" spans="1:21">
      <c r="A28" s="13" t="s">
        <v>195</v>
      </c>
      <c r="S28" s="9" t="s">
        <v>196</v>
      </c>
      <c r="U28" s="9" t="s">
        <v>197</v>
      </c>
    </row>
    <row r="29" spans="1:1">
      <c r="A29" s="13" t="s">
        <v>198</v>
      </c>
    </row>
    <row r="30" spans="1:1">
      <c r="A30" s="13" t="s">
        <v>199</v>
      </c>
    </row>
    <row r="31" spans="1:1">
      <c r="A31" s="13" t="s">
        <v>200</v>
      </c>
    </row>
    <row r="32" spans="1:1">
      <c r="A32" s="13" t="s">
        <v>201</v>
      </c>
    </row>
  </sheetData>
  <pageMargins left="0.7" right="0.7" top="0.75" bottom="0.75" header="0.3" footer="0.3"/>
  <pageSetup paperSize="9" orientation="portrait"/>
  <headerFooter>
    <oddFooter>&amp;C&amp;1#&amp;"Helvetica 75 Bold"&amp;8&amp;KED7D31Orange Restricted</oddFooter>
  </headerFooter>
</worksheet>
</file>

<file path=xl/worksheets/sheet3.xml><?xml version="1.0" encoding="utf-8"?>
<worksheet xmlns:r="http://schemas.openxmlformats.org/officeDocument/2006/relationships" xmlns="http://schemas.openxmlformats.org/spreadsheetml/2006/main">
  <sheetPr codeName="Feuil3">
    <tabColor rgb="FFFF0000"/>
  </sheetPr>
  <dimension ref="D282"/>
  <sheetViews>
    <sheetView showGridLines="true" workbookViewId="0"/>
  </sheetViews>
  <sheetFormatPr defaultColWidth="10.8164" defaultRowHeight="14.5"/>
  <cols>
    <col min="1" max="1" width="7.72656" customWidth="true"/>
    <col min="2" max="2" width="45.7266" customWidth="true"/>
    <col min="3" max="3" width="24.4531" bestFit="true" customWidth="true"/>
    <col min="4" max="4" width="136.453" style="212" bestFit="true" customWidth="true"/>
  </cols>
  <sheetData>
    <row r="1" spans="1:4" ht="15" thickBot="true">
      <c r="A1" s="14" t="s"/>
      <c r="B1" s="15" t="s">
        <v>202</v>
      </c>
      <c r="C1" s="16" t="s"/>
      <c r="D1" s="170" t="s">
        <v>616</v>
      </c>
    </row>
    <row r="2" spans="1:4" ht="70.5" thickBot="true">
      <c r="A2" s="19" t="s"/>
      <c r="B2" s="171" t="s">
        <v>617</v>
      </c>
      <c r="C2" s="16" t="s"/>
      <c r="D2" s="172" t="s">
        <v>789</v>
      </c>
    </row>
    <row r="3" spans="1:4">
      <c r="A3" s="27" t="s"/>
      <c r="B3" s="28" t="s">
        <v>212</v>
      </c>
      <c r="C3" s="16" t="s"/>
      <c r="D3" s="173" t="s"/>
    </row>
    <row r="4" spans="1:4" ht="20">
      <c r="A4" s="30" t="s"/>
      <c r="B4" s="31" t="s">
        <v>213</v>
      </c>
      <c r="C4" s="32" t="s"/>
      <c r="D4" s="173" t="s"/>
    </row>
    <row r="5" spans="1:4" ht="15" thickBot="true">
      <c r="A5" s="34" t="s">
        <v>214</v>
      </c>
      <c r="B5" s="35" t="s"/>
      <c r="C5" s="174" t="s"/>
      <c r="D5" s="174" t="s"/>
    </row>
    <row r="6" spans="1:4" ht="15" thickBot="true">
      <c r="A6" s="175" t="s">
        <v>215</v>
      </c>
      <c r="B6" s="176" t="s"/>
      <c r="C6" s="96" t="s"/>
      <c r="D6" s="177" t="s">
        <v>618</v>
      </c>
    </row>
    <row r="7" spans="1:4" ht="15" thickBot="true">
      <c r="A7" s="175" t="s">
        <v>220</v>
      </c>
      <c r="B7" s="176" t="s"/>
      <c r="C7" s="178" t="s"/>
      <c r="D7" s="179" t="s">
        <v>619</v>
      </c>
    </row>
    <row r="8" spans="1:4">
      <c r="A8" s="82" t="s">
        <v>221</v>
      </c>
      <c r="B8" s="180" t="s"/>
      <c r="C8" s="17" t="s"/>
      <c r="D8" s="173" t="s">
        <v>620</v>
      </c>
    </row>
    <row r="9" spans="1:4">
      <c r="A9" s="82" t="s">
        <v>226</v>
      </c>
      <c r="B9" s="47" t="s"/>
      <c r="C9" s="96" t="s"/>
      <c r="D9" s="173" t="s">
        <v>621</v>
      </c>
    </row>
    <row r="10" spans="1:4">
      <c r="A10" s="180" t="s">
        <v>227</v>
      </c>
      <c r="B10" s="17" t="s"/>
      <c r="C10" s="96" t="s"/>
      <c r="D10" s="181" t="s">
        <v>622</v>
      </c>
    </row>
    <row r="11" spans="1:4">
      <c r="A11" s="180" t="s">
        <v>228</v>
      </c>
      <c r="B11" s="17" t="s"/>
      <c r="C11" s="96" t="s"/>
      <c r="D11" s="181" t="s">
        <v>623</v>
      </c>
    </row>
    <row r="12" spans="1:4">
      <c r="A12" s="180" t="s">
        <v>229</v>
      </c>
      <c r="B12" s="17" t="s"/>
      <c r="C12" s="96" t="s"/>
      <c r="D12" s="181" t="s">
        <v>624</v>
      </c>
    </row>
    <row r="13" spans="1:4">
      <c r="A13" s="180" t="s">
        <v>230</v>
      </c>
      <c r="B13" s="17" t="s"/>
      <c r="C13" s="96" t="s"/>
      <c r="D13" s="181" t="s">
        <v>625</v>
      </c>
    </row>
    <row r="14" spans="1:4">
      <c r="A14" s="180" t="s">
        <v>231</v>
      </c>
      <c r="B14" s="17" t="s"/>
      <c r="C14" s="96" t="s"/>
      <c r="D14" s="181" t="s">
        <v>626</v>
      </c>
    </row>
    <row r="15" spans="1:4">
      <c r="A15" s="180" t="s">
        <v>232</v>
      </c>
      <c r="B15" s="17" t="s"/>
      <c r="C15" s="96" t="s"/>
      <c r="D15" s="181" t="s">
        <v>627</v>
      </c>
    </row>
    <row r="16" spans="1:4">
      <c r="A16" s="180" t="s">
        <v>233</v>
      </c>
      <c r="B16" s="17" t="s"/>
      <c r="C16" s="96" t="s"/>
      <c r="D16" s="181" t="s">
        <v>628</v>
      </c>
    </row>
    <row r="17" spans="1:4">
      <c r="A17" s="180" t="s">
        <v>234</v>
      </c>
      <c r="B17" s="17" t="s"/>
      <c r="C17" s="96" t="s"/>
      <c r="D17" s="182" t="s">
        <v>629</v>
      </c>
    </row>
    <row r="18" spans="1:4">
      <c r="A18" s="180" t="s">
        <v>235</v>
      </c>
      <c r="B18" s="17" t="s"/>
      <c r="C18" s="183" t="s"/>
      <c r="D18" s="173" t="s">
        <v>630</v>
      </c>
    </row>
    <row r="19" spans="1:4">
      <c r="A19" s="180" t="s">
        <v>236</v>
      </c>
      <c r="B19" s="17" t="s"/>
      <c r="C19" s="96" t="s"/>
      <c r="D19" s="173" t="s">
        <v>631</v>
      </c>
    </row>
    <row r="20" spans="1:4" ht="15" thickBot="true">
      <c r="A20" s="59" t="s">
        <v>237</v>
      </c>
      <c r="B20" s="60" t="s"/>
      <c r="C20" s="184" t="s"/>
      <c r="D20" s="185" t="s"/>
    </row>
    <row r="21" spans="1:4" ht="113" thickBot="true">
      <c r="A21" s="175" t="s">
        <v>238</v>
      </c>
      <c r="B21" s="176" t="s"/>
      <c r="C21" s="178" t="s"/>
      <c r="D21" s="186" t="s">
        <v>790</v>
      </c>
    </row>
    <row r="22" spans="1:4">
      <c r="A22" s="180" t="s">
        <v>242</v>
      </c>
      <c r="B22" s="17" t="s"/>
      <c r="C22" s="63" t="s">
        <v>632</v>
      </c>
      <c r="D22" s="173" t="s">
        <v>791</v>
      </c>
    </row>
    <row r="23" spans="1:4">
      <c r="A23" s="180" t="s">
        <v>248</v>
      </c>
      <c r="B23" s="17" t="s"/>
      <c r="C23" s="187" t="s">
        <v>632</v>
      </c>
      <c r="D23" s="173" t="s">
        <v>792</v>
      </c>
    </row>
    <row r="24" spans="1:4">
      <c r="A24" s="188" t="s">
        <v>249</v>
      </c>
      <c r="B24" s="189" t="s"/>
      <c r="C24" s="187" t="s">
        <v>632</v>
      </c>
      <c r="D24" s="173" t="s">
        <v>793</v>
      </c>
    </row>
    <row r="25" spans="1:4">
      <c r="A25" s="180" t="s">
        <v>250</v>
      </c>
      <c r="B25" s="17" t="s"/>
      <c r="C25" s="187" t="s">
        <v>632</v>
      </c>
      <c r="D25" s="173" t="s">
        <v>794</v>
      </c>
    </row>
    <row r="26" spans="1:4">
      <c r="A26" s="34" t="s">
        <v>251</v>
      </c>
      <c r="B26" s="35" t="s"/>
      <c r="C26" s="174" t="s"/>
      <c r="D26" s="174" t="s"/>
    </row>
    <row r="27" spans="1:4" ht="15" thickBot="true">
      <c r="A27" s="59" t="s">
        <v>252</v>
      </c>
      <c r="B27" s="60" t="s"/>
      <c r="C27" s="184" t="s"/>
      <c r="D27" s="184" t="s"/>
    </row>
    <row r="28" spans="1:4" ht="15" thickBot="true">
      <c r="A28" s="175" t="s">
        <v>253</v>
      </c>
      <c r="B28" s="176" t="s"/>
      <c r="C28" s="96" t="s"/>
      <c r="D28" s="177" t="s">
        <v>633</v>
      </c>
    </row>
    <row r="29" spans="1:4">
      <c r="A29" s="180" t="s">
        <v>256</v>
      </c>
      <c r="B29" s="17" t="s"/>
      <c r="C29" s="96" t="s"/>
      <c r="D29" s="173" t="s">
        <v>634</v>
      </c>
    </row>
    <row r="30" spans="1:4">
      <c r="A30" s="82" t="s">
        <v>258</v>
      </c>
      <c r="B30" s="47" t="s"/>
      <c r="C30" s="187" t="s">
        <v>632</v>
      </c>
      <c r="D30" s="173" t="s">
        <v>795</v>
      </c>
    </row>
    <row r="31" spans="1:4">
      <c r="A31" s="180" t="s">
        <v>259</v>
      </c>
      <c r="B31" s="17" t="s"/>
      <c r="C31" s="96" t="s"/>
      <c r="D31" s="182" t="s">
        <v>635</v>
      </c>
    </row>
    <row r="32" spans="1:4">
      <c r="A32" s="180" t="s">
        <v>260</v>
      </c>
      <c r="B32" s="17" t="s"/>
      <c r="C32" s="96" t="s"/>
      <c r="D32" s="173" t="s">
        <v>636</v>
      </c>
    </row>
    <row r="33" spans="1:4">
      <c r="A33" s="180" t="s">
        <v>261</v>
      </c>
      <c r="B33" s="17" t="s"/>
      <c r="C33" s="96" t="s"/>
      <c r="D33" s="182" t="s">
        <v>637</v>
      </c>
    </row>
    <row r="34" spans="1:4">
      <c r="A34" s="180" t="s">
        <v>262</v>
      </c>
      <c r="B34" s="17" t="s"/>
      <c r="C34" s="96" t="s"/>
      <c r="D34" s="173" t="s">
        <v>638</v>
      </c>
    </row>
    <row r="35" spans="1:4" ht="15" thickBot="true">
      <c r="A35" s="84" t="s">
        <v>264</v>
      </c>
      <c r="B35" s="85" t="s"/>
      <c r="C35" s="184" t="s"/>
      <c r="D35" s="184" t="s"/>
    </row>
    <row r="36" spans="1:4" ht="15" thickBot="true">
      <c r="A36" s="190" t="s">
        <v>265</v>
      </c>
      <c r="B36" s="191" t="s"/>
      <c r="C36" s="96" t="s"/>
      <c r="D36" s="192" t="s">
        <v>796</v>
      </c>
    </row>
    <row r="37" spans="1:4">
      <c r="A37" s="180" t="s">
        <v>267</v>
      </c>
      <c r="B37" s="17" t="s"/>
      <c r="C37" s="96" t="s"/>
      <c r="D37" s="173" t="s">
        <v>639</v>
      </c>
    </row>
    <row r="38" spans="1:4">
      <c r="A38" s="180" t="s">
        <v>269</v>
      </c>
      <c r="B38" s="17" t="s"/>
      <c r="C38" s="96" t="s"/>
      <c r="D38" s="173" t="s">
        <v>640</v>
      </c>
    </row>
    <row r="39" spans="1:4">
      <c r="A39" s="180" t="s">
        <v>271</v>
      </c>
      <c r="B39" s="17" t="s"/>
      <c r="C39" s="96" t="s"/>
      <c r="D39" s="173" t="s">
        <v>641</v>
      </c>
    </row>
    <row r="40" spans="1:4">
      <c r="A40" s="180" t="s">
        <v>274</v>
      </c>
      <c r="B40" s="17" t="s"/>
      <c r="C40" s="96" t="s"/>
      <c r="D40" s="173" t="s">
        <v>642</v>
      </c>
    </row>
    <row r="41" spans="1:4">
      <c r="A41" s="84" t="s">
        <v>276</v>
      </c>
      <c r="B41" s="85" t="s"/>
      <c r="C41" s="184" t="s"/>
      <c r="D41" s="184" t="s"/>
    </row>
    <row r="42" spans="1:4">
      <c r="A42" s="180" t="s">
        <v>277</v>
      </c>
      <c r="B42" s="17" t="s"/>
      <c r="C42" s="96" t="s"/>
      <c r="D42" s="182" t="s">
        <v>643</v>
      </c>
    </row>
    <row r="43" spans="1:4">
      <c r="A43" s="188" t="s">
        <v>278</v>
      </c>
      <c r="B43" s="189" t="s"/>
      <c r="C43" s="96" t="s"/>
      <c r="D43" s="182" t="s">
        <v>797</v>
      </c>
    </row>
    <row r="44" spans="1:4">
      <c r="A44" s="188" t="s">
        <v>279</v>
      </c>
      <c r="B44" s="189" t="s"/>
      <c r="C44" s="96" t="s"/>
      <c r="D44" s="182" t="s">
        <v>798</v>
      </c>
    </row>
    <row r="45" spans="1:4">
      <c r="A45" s="180" t="s">
        <v>280</v>
      </c>
      <c r="B45" s="47" t="s"/>
      <c r="C45" s="96" t="s"/>
      <c r="D45" s="182" t="s">
        <v>644</v>
      </c>
    </row>
    <row r="46" spans="1:4">
      <c r="A46" s="188" t="s">
        <v>281</v>
      </c>
      <c r="B46" s="189" t="s"/>
      <c r="C46" s="96" t="s"/>
      <c r="D46" s="182" t="s">
        <v>799</v>
      </c>
    </row>
    <row r="47" spans="1:4" ht="15" thickBot="true">
      <c r="A47" s="193" t="s">
        <v>282</v>
      </c>
      <c r="B47" s="17" t="s"/>
      <c r="C47" s="96" t="s"/>
      <c r="D47" s="182" t="s">
        <v>800</v>
      </c>
    </row>
    <row r="48" spans="1:4" ht="15" thickBot="true">
      <c r="A48" s="190" t="s">
        <v>283</v>
      </c>
      <c r="B48" s="176" t="s"/>
      <c r="C48" s="178" t="s"/>
      <c r="D48" s="177" t="s">
        <v>645</v>
      </c>
    </row>
    <row r="49" spans="1:4">
      <c r="A49" s="82" t="s">
        <v>284</v>
      </c>
      <c r="B49" s="194" t="s"/>
      <c r="C49" s="96" t="s"/>
      <c r="D49" s="182" t="s">
        <v>646</v>
      </c>
    </row>
    <row r="50" spans="1:4">
      <c r="A50" s="188" t="s">
        <v>286</v>
      </c>
      <c r="B50" s="189" t="s"/>
      <c r="C50" s="96" t="s"/>
      <c r="D50" s="182" t="s">
        <v>801</v>
      </c>
    </row>
    <row r="51" spans="1:4">
      <c r="A51" s="180" t="s">
        <v>287</v>
      </c>
      <c r="B51" s="180" t="s"/>
      <c r="C51" s="96" t="s"/>
      <c r="D51" s="182" t="s">
        <v>647</v>
      </c>
    </row>
    <row r="52" spans="1:4">
      <c r="A52" s="180" t="s">
        <v>288</v>
      </c>
      <c r="B52" s="180" t="s"/>
      <c r="C52" s="97" t="s"/>
      <c r="D52" s="182" t="s">
        <v>648</v>
      </c>
    </row>
    <row r="53" spans="1:4">
      <c r="A53" s="82" t="s">
        <v>289</v>
      </c>
      <c r="B53" s="194" t="s"/>
      <c r="C53" s="97" t="s">
        <v>290</v>
      </c>
      <c r="D53" s="182" t="s">
        <v>649</v>
      </c>
    </row>
    <row r="54" spans="1:4">
      <c r="A54" s="180" t="s"/>
      <c r="B54" s="17" t="s"/>
      <c r="C54" s="97" t="s">
        <v>291</v>
      </c>
      <c r="D54" s="182" t="s"/>
    </row>
    <row r="55" spans="1:4">
      <c r="A55" s="180" t="s"/>
      <c r="B55" s="17" t="s"/>
      <c r="C55" s="97" t="s">
        <v>292</v>
      </c>
      <c r="D55" s="182" t="s"/>
    </row>
    <row r="56" spans="1:4">
      <c r="A56" s="180" t="s"/>
      <c r="B56" s="17" t="s"/>
      <c r="C56" s="97" t="s">
        <v>293</v>
      </c>
      <c r="D56" s="182" t="s"/>
    </row>
    <row r="57" spans="1:4">
      <c r="A57" s="180" t="s">
        <v>294</v>
      </c>
      <c r="B57" s="17" t="s"/>
      <c r="C57" s="183" t="s"/>
      <c r="D57" s="182" t="s">
        <v>650</v>
      </c>
    </row>
    <row r="58" spans="1:4">
      <c r="A58" s="195" t="s">
        <v>296</v>
      </c>
      <c r="B58" s="196" t="s"/>
      <c r="C58" s="183" t="s"/>
      <c r="D58" s="182" t="s">
        <v>651</v>
      </c>
    </row>
    <row r="59" spans="1:4" ht="15" thickBot="true">
      <c r="A59" s="195" t="s">
        <v>297</v>
      </c>
      <c r="B59" s="196" t="s"/>
      <c r="C59" s="97" t="s"/>
      <c r="D59" s="182" t="s">
        <v>652</v>
      </c>
    </row>
    <row r="60" spans="1:4" ht="15" thickBot="true">
      <c r="A60" s="190" t="s">
        <v>298</v>
      </c>
      <c r="B60" s="176" t="s"/>
      <c r="C60" s="178" t="s"/>
      <c r="D60" s="177" t="s">
        <v>653</v>
      </c>
    </row>
    <row r="61" spans="1:4">
      <c r="A61" s="197" t="s">
        <v>299</v>
      </c>
      <c r="B61" s="198" t="s"/>
      <c r="C61" s="97" t="s"/>
      <c r="D61" s="182" t="s">
        <v>654</v>
      </c>
    </row>
    <row r="62" spans="1:4">
      <c r="A62" s="188" t="s">
        <v>300</v>
      </c>
      <c r="B62" s="189" t="s"/>
      <c r="C62" s="97" t="s"/>
      <c r="D62" s="182" t="s">
        <v>802</v>
      </c>
    </row>
    <row r="63" spans="1:4">
      <c r="A63" s="84" t="s">
        <v>301</v>
      </c>
      <c r="B63" s="85" t="s"/>
      <c r="C63" s="184" t="s"/>
      <c r="D63" s="184" t="s"/>
    </row>
    <row r="64" spans="1:4">
      <c r="A64" s="188" t="s">
        <v>302</v>
      </c>
      <c r="B64" s="189" t="s"/>
      <c r="C64" s="97">
        <v>850</v>
      </c>
      <c r="D64" s="182" t="s">
        <v>803</v>
      </c>
    </row>
    <row r="65" spans="1:4">
      <c r="A65" s="180" t="s"/>
      <c r="B65" s="17" t="s"/>
      <c r="C65" s="97">
        <v>900</v>
      </c>
      <c r="D65" s="182" t="s"/>
    </row>
    <row r="66" spans="1:4">
      <c r="A66" s="180" t="s"/>
      <c r="B66" s="17" t="s"/>
      <c r="C66" s="97">
        <v>1800</v>
      </c>
      <c r="D66" s="182" t="s"/>
    </row>
    <row r="67" spans="1:4">
      <c r="A67" s="180" t="s"/>
      <c r="B67" s="17" t="s"/>
      <c r="C67" s="97">
        <v>1900</v>
      </c>
      <c r="D67" s="182" t="s"/>
    </row>
    <row r="68" spans="1:4">
      <c r="A68" s="188" t="s">
        <v>303</v>
      </c>
      <c r="B68" s="189" t="s"/>
      <c r="C68" s="97" t="s"/>
      <c r="D68" s="182" t="s">
        <v>804</v>
      </c>
    </row>
    <row r="69" spans="1:4">
      <c r="A69" s="188" t="s">
        <v>304</v>
      </c>
      <c r="B69" s="189" t="s"/>
      <c r="C69" s="97" t="s">
        <v>305</v>
      </c>
      <c r="D69" s="182" t="s">
        <v>805</v>
      </c>
    </row>
    <row r="70" spans="1:4">
      <c r="A70" s="180" t="s"/>
      <c r="B70" s="17" t="s"/>
      <c r="C70" s="97" t="s">
        <v>306</v>
      </c>
      <c r="D70" s="182" t="s"/>
    </row>
    <row r="71" spans="1:4">
      <c r="A71" s="180" t="s"/>
      <c r="B71" s="17" t="s"/>
      <c r="C71" s="105" t="s">
        <v>307</v>
      </c>
      <c r="D71" s="182" t="s"/>
    </row>
    <row r="72" spans="1:4">
      <c r="A72" s="180" t="s"/>
      <c r="B72" s="17" t="s"/>
      <c r="C72" s="97" t="s">
        <v>308</v>
      </c>
      <c r="D72" s="182" t="s"/>
    </row>
    <row r="73" spans="1:4">
      <c r="A73" s="195" t="s"/>
      <c r="B73" s="196" t="s"/>
      <c r="C73" s="97" t="s">
        <v>309</v>
      </c>
      <c r="D73" s="182" t="s"/>
    </row>
    <row r="74" spans="1:4">
      <c r="A74" s="180" t="s">
        <v>310</v>
      </c>
      <c r="B74" s="17" t="s"/>
      <c r="C74" s="97" t="s">
        <v>311</v>
      </c>
      <c r="D74" s="182" t="s">
        <v>806</v>
      </c>
    </row>
    <row r="75" spans="1:4">
      <c r="A75" s="180" t="s"/>
      <c r="B75" s="17" t="s"/>
      <c r="C75" s="97" t="s">
        <v>312</v>
      </c>
      <c r="D75" s="182" t="s"/>
    </row>
    <row r="76" spans="1:4">
      <c r="A76" s="180" t="s"/>
      <c r="B76" s="17" t="s"/>
      <c r="C76" s="97" t="s">
        <v>313</v>
      </c>
      <c r="D76" s="182" t="s"/>
    </row>
    <row r="77" spans="1:4">
      <c r="A77" s="180" t="s"/>
      <c r="B77" s="17" t="s"/>
      <c r="C77" s="97" t="s">
        <v>314</v>
      </c>
      <c r="D77" s="182" t="s"/>
    </row>
    <row r="78" spans="1:4">
      <c r="A78" s="180" t="s"/>
      <c r="B78" s="17" t="s"/>
      <c r="C78" s="97" t="s">
        <v>315</v>
      </c>
      <c r="D78" s="182" t="s"/>
    </row>
    <row r="79" spans="1:4">
      <c r="A79" s="180" t="s"/>
      <c r="B79" s="17" t="s"/>
      <c r="C79" s="97" t="s">
        <v>316</v>
      </c>
      <c r="D79" s="182" t="s"/>
    </row>
    <row r="80" spans="1:4">
      <c r="A80" s="180" t="s"/>
      <c r="B80" s="17" t="s"/>
      <c r="C80" s="97" t="s">
        <v>317</v>
      </c>
      <c r="D80" s="182" t="s"/>
    </row>
    <row r="81" spans="1:4">
      <c r="A81" s="180" t="s"/>
      <c r="B81" s="17" t="s"/>
      <c r="C81" s="97" t="s">
        <v>318</v>
      </c>
      <c r="D81" s="182" t="s"/>
    </row>
    <row r="82" spans="1:4">
      <c r="A82" s="180" t="s"/>
      <c r="B82" s="17" t="s"/>
      <c r="C82" s="97" t="s">
        <v>319</v>
      </c>
      <c r="D82" s="182" t="s"/>
    </row>
    <row r="83" spans="1:4">
      <c r="A83" s="180" t="s"/>
      <c r="B83" s="17" t="s"/>
      <c r="C83" s="97" t="s">
        <v>320</v>
      </c>
      <c r="D83" s="182" t="s"/>
    </row>
    <row r="84" spans="1:4">
      <c r="A84" s="180" t="s"/>
      <c r="B84" s="17" t="s"/>
      <c r="C84" s="97" t="s">
        <v>321</v>
      </c>
      <c r="D84" s="182" t="s"/>
    </row>
    <row r="85" spans="1:4">
      <c r="A85" s="180" t="s"/>
      <c r="B85" s="17" t="s"/>
      <c r="C85" s="97" t="s">
        <v>322</v>
      </c>
      <c r="D85" s="182" t="s"/>
    </row>
    <row r="86" spans="1:4">
      <c r="A86" s="180" t="s"/>
      <c r="B86" s="17" t="s"/>
      <c r="C86" s="105" t="s">
        <v>323</v>
      </c>
      <c r="D86" s="182" t="s"/>
    </row>
    <row r="87" spans="1:4">
      <c r="A87" s="180" t="s"/>
      <c r="B87" s="199" t="s"/>
      <c r="C87" s="97" t="s">
        <v>324</v>
      </c>
      <c r="D87" s="182" t="s"/>
    </row>
    <row r="88" spans="1:4">
      <c r="A88" s="180" t="s"/>
      <c r="B88" s="199" t="s"/>
      <c r="C88" s="97" t="s">
        <v>325</v>
      </c>
      <c r="D88" s="182" t="s"/>
    </row>
    <row r="89" spans="1:4">
      <c r="A89" s="180" t="s"/>
      <c r="B89" s="199" t="s"/>
      <c r="C89" s="97" t="s">
        <v>326</v>
      </c>
      <c r="D89" s="182" t="s"/>
    </row>
    <row r="90" spans="1:4">
      <c r="A90" s="180" t="s"/>
      <c r="B90" s="199" t="s"/>
      <c r="C90" s="97" t="s">
        <v>327</v>
      </c>
      <c r="D90" s="182" t="s"/>
    </row>
    <row r="91" spans="1:4">
      <c r="A91" s="180" t="s"/>
      <c r="B91" s="199" t="s"/>
      <c r="C91" s="97" t="s">
        <v>328</v>
      </c>
      <c r="D91" s="182" t="s"/>
    </row>
    <row r="92" spans="1:4">
      <c r="A92" s="180" t="s"/>
      <c r="B92" s="199" t="s"/>
      <c r="C92" s="97" t="s">
        <v>329</v>
      </c>
      <c r="D92" s="182" t="s"/>
    </row>
    <row r="93" spans="1:4">
      <c r="A93" s="180" t="s"/>
      <c r="B93" s="199" t="s"/>
      <c r="C93" s="97" t="s">
        <v>330</v>
      </c>
      <c r="D93" s="182" t="s"/>
    </row>
    <row r="94" spans="1:4">
      <c r="A94" s="180" t="s"/>
      <c r="B94" s="199" t="s"/>
      <c r="C94" s="97" t="s">
        <v>331</v>
      </c>
      <c r="D94" s="182" t="s"/>
    </row>
    <row r="95" spans="1:4">
      <c r="A95" s="180" t="s"/>
      <c r="B95" s="199" t="s"/>
      <c r="C95" s="97" t="s">
        <v>332</v>
      </c>
      <c r="D95" s="182" t="s"/>
    </row>
    <row r="96" spans="1:4">
      <c r="A96" s="180" t="s"/>
      <c r="B96" s="199" t="s"/>
      <c r="C96" s="97" t="s">
        <v>333</v>
      </c>
      <c r="D96" s="182" t="s"/>
    </row>
    <row r="97" spans="1:4">
      <c r="A97" s="180" t="s"/>
      <c r="B97" s="199" t="s"/>
      <c r="C97" s="97" t="s">
        <v>334</v>
      </c>
      <c r="D97" s="182" t="s"/>
    </row>
    <row r="98" spans="1:4">
      <c r="A98" s="180" t="s">
        <v>335</v>
      </c>
      <c r="B98" s="17" t="s"/>
      <c r="C98" s="97" t="s">
        <v>336</v>
      </c>
      <c r="D98" s="182" t="s">
        <v>807</v>
      </c>
    </row>
    <row r="99" spans="1:4">
      <c r="A99" s="180" t="s"/>
      <c r="B99" s="17" t="s"/>
      <c r="C99" s="97" t="s">
        <v>337</v>
      </c>
      <c r="D99" s="182" t="s"/>
    </row>
    <row r="100" spans="1:4">
      <c r="A100" s="188" t="s">
        <v>338</v>
      </c>
      <c r="B100" s="189" t="s"/>
      <c r="C100" s="97" t="s"/>
      <c r="D100" s="182" t="s">
        <v>808</v>
      </c>
    </row>
    <row r="101" spans="1:4">
      <c r="A101" s="188" t="s">
        <v>339</v>
      </c>
      <c r="B101" s="189" t="s"/>
      <c r="C101" s="97" t="s"/>
      <c r="D101" s="182" t="s">
        <v>809</v>
      </c>
    </row>
    <row r="102" spans="1:4">
      <c r="A102" s="84" t="s">
        <v>340</v>
      </c>
      <c r="B102" s="85" t="s"/>
      <c r="C102" s="184" t="s"/>
      <c r="D102" s="184" t="s"/>
    </row>
    <row r="103" spans="1:4">
      <c r="A103" s="180" t="s">
        <v>341</v>
      </c>
      <c r="B103" s="17" t="s"/>
      <c r="C103" s="105" t="s"/>
      <c r="D103" s="173" t="s">
        <v>655</v>
      </c>
    </row>
    <row r="104" spans="1:4">
      <c r="A104" s="180" t="s">
        <v>344</v>
      </c>
      <c r="B104" s="17" t="s"/>
      <c r="C104" s="105" t="s"/>
      <c r="D104" s="173" t="s">
        <v>656</v>
      </c>
    </row>
    <row r="105" spans="1:4">
      <c r="A105" s="180" t="s">
        <v>345</v>
      </c>
      <c r="B105" s="17" t="s"/>
      <c r="C105" s="105" t="s"/>
      <c r="D105" s="173" t="s">
        <v>657</v>
      </c>
    </row>
    <row r="106" spans="1:4">
      <c r="A106" s="180" t="s">
        <v>346</v>
      </c>
      <c r="B106" s="17" t="s"/>
      <c r="C106" s="105" t="s"/>
      <c r="D106" s="173" t="s">
        <v>658</v>
      </c>
    </row>
    <row r="107" spans="1:4">
      <c r="A107" s="180" t="s">
        <v>347</v>
      </c>
      <c r="B107" s="17" t="s"/>
      <c r="C107" s="105" t="s"/>
      <c r="D107" s="182" t="s">
        <v>659</v>
      </c>
    </row>
    <row r="108" spans="1:4">
      <c r="A108" s="180" t="s">
        <v>349</v>
      </c>
      <c r="B108" s="17" t="s"/>
      <c r="C108" s="105" t="s"/>
      <c r="D108" s="182" t="s">
        <v>660</v>
      </c>
    </row>
    <row r="109" spans="1:4">
      <c r="A109" s="180" t="s">
        <v>351</v>
      </c>
      <c r="B109" s="17" t="s"/>
      <c r="C109" s="105" t="s"/>
      <c r="D109" s="182" t="s">
        <v>661</v>
      </c>
    </row>
    <row r="110" spans="1:4">
      <c r="A110" s="82" t="s">
        <v>352</v>
      </c>
      <c r="B110" s="47" t="s"/>
      <c r="C110" s="105" t="s"/>
      <c r="D110" s="182" t="s">
        <v>662</v>
      </c>
    </row>
    <row r="111" spans="1:4">
      <c r="A111" s="180" t="s">
        <v>354</v>
      </c>
      <c r="B111" s="17" t="s"/>
      <c r="C111" s="105" t="s"/>
      <c r="D111" s="182" t="s">
        <v>663</v>
      </c>
    </row>
    <row r="112" spans="1:4">
      <c r="A112" s="180" t="s">
        <v>355</v>
      </c>
      <c r="B112" s="17" t="s"/>
      <c r="C112" s="105" t="s"/>
      <c r="D112" s="182" t="s">
        <v>664</v>
      </c>
    </row>
    <row r="113" spans="1:4">
      <c r="A113" s="180" t="s">
        <v>359</v>
      </c>
      <c r="B113" s="17" t="s"/>
      <c r="C113" s="105" t="s"/>
      <c r="D113" s="182" t="s">
        <v>665</v>
      </c>
    </row>
    <row r="114" spans="1:4">
      <c r="A114" s="180" t="s">
        <v>362</v>
      </c>
      <c r="B114" s="17" t="s"/>
      <c r="C114" s="105" t="s"/>
      <c r="D114" s="182" t="s">
        <v>666</v>
      </c>
    </row>
    <row r="115" spans="1:4">
      <c r="A115" s="180" t="s">
        <v>363</v>
      </c>
      <c r="B115" s="17" t="s"/>
      <c r="C115" s="105" t="s"/>
      <c r="D115" s="182" t="s">
        <v>667</v>
      </c>
    </row>
    <row r="116" spans="1:4" ht="15" thickBot="true">
      <c r="A116" s="84" t="s">
        <v>364</v>
      </c>
      <c r="B116" s="85" t="s"/>
      <c r="C116" s="184" t="s"/>
      <c r="D116" s="184" t="s"/>
    </row>
    <row r="117" spans="1:4" ht="15" thickBot="true">
      <c r="A117" s="175" t="s">
        <v>365</v>
      </c>
      <c r="B117" s="176" t="s"/>
      <c r="C117" s="105" t="s"/>
      <c r="D117" s="200" t="s">
        <v>668</v>
      </c>
    </row>
    <row r="118" spans="1:4">
      <c r="A118" s="180" t="s">
        <v>368</v>
      </c>
      <c r="B118" s="17" t="s"/>
      <c r="C118" s="105" t="s"/>
      <c r="D118" s="201" t="s">
        <v>669</v>
      </c>
    </row>
    <row r="119" spans="1:4">
      <c r="A119" s="180" t="s">
        <v>369</v>
      </c>
      <c r="B119" s="17" t="s"/>
      <c r="C119" s="105" t="s"/>
      <c r="D119" s="201" t="s">
        <v>670</v>
      </c>
    </row>
    <row r="120" spans="1:4">
      <c r="A120" s="180" t="s">
        <v>370</v>
      </c>
      <c r="B120" s="17" t="s"/>
      <c r="C120" s="105" t="s"/>
      <c r="D120" s="202" t="s">
        <v>671</v>
      </c>
    </row>
    <row r="121" spans="1:4">
      <c r="A121" s="82" t="s">
        <v>372</v>
      </c>
      <c r="B121" s="47" t="s"/>
      <c r="C121" s="105" t="s"/>
      <c r="D121" s="201" t="s">
        <v>672</v>
      </c>
    </row>
    <row r="122" spans="1:4">
      <c r="A122" s="180" t="s">
        <v>373</v>
      </c>
      <c r="B122" s="17" t="s"/>
      <c r="C122" s="105" t="s"/>
      <c r="D122" s="201" t="s">
        <v>673</v>
      </c>
    </row>
    <row r="123" spans="1:4">
      <c r="A123" s="82" t="s">
        <v>376</v>
      </c>
      <c r="B123" s="47" t="s"/>
      <c r="C123" s="105" t="s"/>
      <c r="D123" s="201" t="s">
        <v>674</v>
      </c>
    </row>
    <row r="124" spans="1:4">
      <c r="A124" s="180" t="s">
        <v>378</v>
      </c>
      <c r="B124" s="17" t="s"/>
      <c r="C124" s="105" t="s"/>
      <c r="D124" s="182" t="s">
        <v>675</v>
      </c>
    </row>
    <row r="125" spans="1:4">
      <c r="A125" s="180" t="s">
        <v>379</v>
      </c>
      <c r="B125" s="17" t="s"/>
      <c r="C125" s="105" t="s"/>
      <c r="D125" s="182" t="s">
        <v>676</v>
      </c>
    </row>
    <row r="126" spans="1:4">
      <c r="A126" s="180" t="s">
        <v>380</v>
      </c>
      <c r="B126" s="17" t="s"/>
      <c r="C126" s="105" t="s"/>
      <c r="D126" s="202" t="s">
        <v>677</v>
      </c>
    </row>
    <row r="127" spans="1:4">
      <c r="A127" s="84" t="s">
        <v>381</v>
      </c>
      <c r="B127" s="85" t="s"/>
      <c r="C127" s="184" t="s"/>
      <c r="D127" s="184" t="s"/>
    </row>
    <row r="128" spans="1:4">
      <c r="A128" s="180" t="s">
        <v>382</v>
      </c>
      <c r="B128" s="17" t="s"/>
      <c r="C128" s="105" t="s"/>
      <c r="D128" s="182" t="s">
        <v>678</v>
      </c>
    </row>
    <row r="129" spans="1:4">
      <c r="A129" s="188" t="s">
        <v>383</v>
      </c>
      <c r="B129" s="189" t="s"/>
      <c r="C129" s="105" t="s"/>
      <c r="D129" s="182" t="s">
        <v>810</v>
      </c>
    </row>
    <row r="130" spans="1:4">
      <c r="A130" s="180" t="s">
        <v>384</v>
      </c>
      <c r="B130" s="203" t="s"/>
      <c r="C130" s="105" t="s"/>
      <c r="D130" s="182" t="s">
        <v>679</v>
      </c>
    </row>
    <row r="131" spans="1:4">
      <c r="A131" s="84" t="s">
        <v>386</v>
      </c>
      <c r="B131" s="85" t="s"/>
      <c r="C131" s="184" t="s"/>
      <c r="D131" s="184" t="s"/>
    </row>
    <row r="132" spans="1:4">
      <c r="A132" s="180" t="s">
        <v>387</v>
      </c>
      <c r="B132" s="17" t="s"/>
      <c r="C132" s="96" t="s"/>
      <c r="D132" s="182" t="s">
        <v>680</v>
      </c>
    </row>
    <row r="133" spans="1:4">
      <c r="A133" s="180" t="s">
        <v>388</v>
      </c>
      <c r="B133" s="17" t="s"/>
      <c r="C133" s="96" t="s"/>
      <c r="D133" s="173" t="s">
        <v>681</v>
      </c>
    </row>
    <row r="134" spans="1:4">
      <c r="A134" s="183" t="s">
        <v>389</v>
      </c>
      <c r="B134" s="183" t="s"/>
      <c r="C134" s="97" t="s">
        <v>390</v>
      </c>
      <c r="D134" s="182" t="s">
        <v>682</v>
      </c>
    </row>
    <row r="135" spans="1:4">
      <c r="A135" s="183" t="s"/>
      <c r="B135" s="183" t="s"/>
      <c r="C135" s="97" t="s">
        <v>391</v>
      </c>
      <c r="D135" s="182" t="s"/>
    </row>
    <row r="136" spans="1:4">
      <c r="A136" s="183" t="s"/>
      <c r="B136" s="183" t="s"/>
      <c r="C136" s="97" t="s">
        <v>392</v>
      </c>
      <c r="D136" s="182" t="s"/>
    </row>
    <row r="137" spans="1:4">
      <c r="A137" s="183" t="s"/>
      <c r="B137" s="183" t="s"/>
      <c r="C137" s="97" t="s">
        <v>393</v>
      </c>
      <c r="D137" s="182" t="s"/>
    </row>
    <row r="138" spans="1:4">
      <c r="A138" s="183" t="s"/>
      <c r="B138" s="183" t="s"/>
      <c r="C138" s="97" t="s">
        <v>394</v>
      </c>
      <c r="D138" s="182" t="s"/>
    </row>
    <row r="139" spans="1:4">
      <c r="A139" s="183" t="s"/>
      <c r="B139" s="183" t="s"/>
      <c r="C139" s="97" t="s">
        <v>395</v>
      </c>
      <c r="D139" s="182" t="s"/>
    </row>
    <row r="140" spans="1:4">
      <c r="A140" s="183" t="s"/>
      <c r="B140" s="183" t="s"/>
      <c r="C140" s="97" t="s">
        <v>396</v>
      </c>
      <c r="D140" s="182" t="s"/>
    </row>
    <row r="141" spans="1:4">
      <c r="A141" s="183" t="s"/>
      <c r="B141" s="183" t="s"/>
      <c r="C141" s="97" t="s">
        <v>397</v>
      </c>
      <c r="D141" s="182" t="s"/>
    </row>
    <row r="142" spans="1:4">
      <c r="A142" s="183" t="s"/>
      <c r="B142" s="183" t="s"/>
      <c r="C142" s="97" t="s">
        <v>398</v>
      </c>
      <c r="D142" s="182" t="s"/>
    </row>
    <row r="143" spans="1:4">
      <c r="A143" s="183" t="s"/>
      <c r="B143" s="183" t="s"/>
      <c r="C143" s="97" t="s">
        <v>399</v>
      </c>
      <c r="D143" s="182" t="s"/>
    </row>
    <row r="144" spans="1:4">
      <c r="A144" s="183" t="s"/>
      <c r="B144" s="183" t="s"/>
      <c r="C144" s="97" t="s">
        <v>400</v>
      </c>
      <c r="D144" s="182" t="s"/>
    </row>
    <row r="145" spans="1:4">
      <c r="A145" s="183" t="s"/>
      <c r="B145" s="183" t="s"/>
      <c r="C145" s="97" t="s">
        <v>401</v>
      </c>
      <c r="D145" s="182" t="s"/>
    </row>
    <row r="146" spans="1:4">
      <c r="A146" s="183" t="s">
        <v>402</v>
      </c>
      <c r="B146" s="183" t="s"/>
      <c r="C146" s="97" t="s"/>
      <c r="D146" s="182" t="s">
        <v>683</v>
      </c>
    </row>
    <row r="147" spans="1:4">
      <c r="A147" s="183" t="s">
        <v>403</v>
      </c>
      <c r="B147" s="183" t="s"/>
      <c r="C147" s="97" t="s">
        <v>404</v>
      </c>
      <c r="D147" s="182" t="s">
        <v>684</v>
      </c>
    </row>
    <row r="148" spans="1:4">
      <c r="A148" s="180" t="s">
        <v>405</v>
      </c>
      <c r="B148" s="180" t="s"/>
      <c r="C148" s="97" t="s"/>
      <c r="D148" s="182" t="s">
        <v>685</v>
      </c>
    </row>
    <row r="149" spans="1:4">
      <c r="A149" s="180" t="s">
        <v>407</v>
      </c>
      <c r="B149" s="180" t="s"/>
      <c r="C149" s="97" t="s"/>
      <c r="D149" s="182" t="s">
        <v>686</v>
      </c>
    </row>
    <row r="150" spans="1:4">
      <c r="A150" s="180" t="s">
        <v>12</v>
      </c>
      <c r="B150" s="180" t="s"/>
      <c r="C150" s="97" t="s"/>
      <c r="D150" s="182" t="s">
        <v>687</v>
      </c>
    </row>
    <row r="151" spans="1:4">
      <c r="A151" s="180" t="s">
        <v>409</v>
      </c>
      <c r="B151" s="183" t="s"/>
      <c r="C151" s="97" t="s"/>
      <c r="D151" s="182" t="s">
        <v>688</v>
      </c>
    </row>
    <row r="152" spans="1:4">
      <c r="A152" s="188" t="s">
        <v>411</v>
      </c>
      <c r="B152" s="189" t="s"/>
      <c r="C152" s="105" t="s"/>
      <c r="D152" s="182" t="s">
        <v>811</v>
      </c>
    </row>
    <row r="153" spans="1:4">
      <c r="A153" s="180" t="s">
        <v>412</v>
      </c>
      <c r="B153" s="180" t="s"/>
      <c r="C153" s="105" t="s"/>
      <c r="D153" s="182" t="s">
        <v>689</v>
      </c>
    </row>
    <row r="154" spans="1:4">
      <c r="A154" s="180" t="s">
        <v>413</v>
      </c>
      <c r="B154" s="180" t="s"/>
      <c r="C154" s="105" t="s"/>
      <c r="D154" s="182" t="s">
        <v>690</v>
      </c>
    </row>
    <row r="155" spans="1:4">
      <c r="A155" s="180" t="s">
        <v>414</v>
      </c>
      <c r="B155" s="180" t="s"/>
      <c r="C155" s="105" t="s"/>
      <c r="D155" s="182" t="s">
        <v>691</v>
      </c>
    </row>
    <row r="156" spans="1:4">
      <c r="A156" s="180" t="s">
        <v>415</v>
      </c>
      <c r="B156" s="180" t="s"/>
      <c r="C156" s="105" t="s"/>
      <c r="D156" s="182" t="s">
        <v>692</v>
      </c>
    </row>
    <row r="157" spans="1:4">
      <c r="A157" s="180" t="s">
        <v>416</v>
      </c>
      <c r="B157" s="180" t="s"/>
      <c r="C157" s="105" t="s"/>
      <c r="D157" s="182" t="s">
        <v>693</v>
      </c>
    </row>
    <row r="158" spans="1:4">
      <c r="A158" s="188" t="s">
        <v>417</v>
      </c>
      <c r="B158" s="189" t="s"/>
      <c r="C158" s="105" t="s"/>
      <c r="D158" s="182" t="s">
        <v>812</v>
      </c>
    </row>
    <row r="159" spans="1:4">
      <c r="A159" s="180" t="s">
        <v>419</v>
      </c>
      <c r="B159" s="180" t="s"/>
      <c r="C159" s="105" t="s"/>
      <c r="D159" s="182" t="s">
        <v>694</v>
      </c>
    </row>
    <row r="160" spans="1:4">
      <c r="A160" s="180" t="s">
        <v>13</v>
      </c>
      <c r="B160" s="180" t="s"/>
      <c r="C160" s="97" t="s"/>
      <c r="D160" s="182" t="s">
        <v>695</v>
      </c>
    </row>
    <row r="161" spans="1:4">
      <c r="A161" s="180" t="s">
        <v>420</v>
      </c>
      <c r="B161" s="17" t="s"/>
      <c r="C161" s="97" t="s">
        <v>12</v>
      </c>
      <c r="D161" s="182" t="s">
        <v>696</v>
      </c>
    </row>
    <row r="162" spans="1:4">
      <c r="A162" s="180" t="s"/>
      <c r="B162" s="17" t="s"/>
      <c r="C162" s="97" t="s">
        <v>421</v>
      </c>
      <c r="D162" s="182" t="s"/>
    </row>
    <row r="163" spans="1:4">
      <c r="A163" s="180" t="s"/>
      <c r="B163" s="17" t="s"/>
      <c r="C163" s="97" t="s">
        <v>389</v>
      </c>
      <c r="D163" s="182" t="s"/>
    </row>
    <row r="164" spans="1:4">
      <c r="A164" s="180" t="s">
        <v>422</v>
      </c>
      <c r="B164" s="17" t="s"/>
      <c r="C164" s="97" t="s">
        <v>423</v>
      </c>
      <c r="D164" s="182" t="s">
        <v>697</v>
      </c>
    </row>
    <row r="165" spans="1:4">
      <c r="A165" s="180" t="s"/>
      <c r="B165" s="17" t="s"/>
      <c r="C165" s="97" t="s">
        <v>424</v>
      </c>
      <c r="D165" s="182" t="s"/>
    </row>
    <row r="166" spans="1:4">
      <c r="A166" s="180" t="s"/>
      <c r="B166" s="17" t="s"/>
      <c r="C166" s="97" t="s">
        <v>425</v>
      </c>
      <c r="D166" s="182" t="s"/>
    </row>
    <row r="167" spans="1:4">
      <c r="A167" s="84" t="s">
        <v>426</v>
      </c>
      <c r="B167" s="85" t="s"/>
      <c r="C167" s="184" t="s"/>
      <c r="D167" s="184" t="s"/>
    </row>
    <row r="168" spans="1:4">
      <c r="A168" s="188" t="s">
        <v>427</v>
      </c>
      <c r="B168" s="189" t="s"/>
      <c r="C168" s="97" t="s"/>
      <c r="D168" s="182" t="s">
        <v>813</v>
      </c>
    </row>
    <row r="169" spans="1:4">
      <c r="A169" s="180" t="s">
        <v>428</v>
      </c>
      <c r="B169" s="17" t="s"/>
      <c r="C169" s="97" t="s">
        <v>429</v>
      </c>
      <c r="D169" s="182" t="s">
        <v>698</v>
      </c>
    </row>
    <row r="170" spans="1:4">
      <c r="A170" s="180" t="s"/>
      <c r="B170" s="17" t="s"/>
      <c r="C170" s="97" t="s">
        <v>430</v>
      </c>
      <c r="D170" s="182" t="s"/>
    </row>
    <row r="171" spans="1:4">
      <c r="A171" s="180" t="s"/>
      <c r="B171" s="17" t="s"/>
      <c r="C171" s="97" t="s">
        <v>431</v>
      </c>
      <c r="D171" s="182" t="s"/>
    </row>
    <row r="172" spans="1:4">
      <c r="A172" s="180" t="s"/>
      <c r="B172" s="17" t="s"/>
      <c r="C172" s="97" t="s">
        <v>432</v>
      </c>
      <c r="D172" s="182" t="s"/>
    </row>
    <row r="173" spans="1:4">
      <c r="A173" s="84" t="s">
        <v>433</v>
      </c>
      <c r="B173" s="85" t="s"/>
      <c r="C173" s="184" t="s"/>
      <c r="D173" s="184" t="s"/>
    </row>
    <row r="174" spans="1:4">
      <c r="A174" s="180" t="s">
        <v>434</v>
      </c>
      <c r="B174" s="17" t="s"/>
      <c r="C174" s="105" t="s"/>
      <c r="D174" s="173" t="s">
        <v>699</v>
      </c>
    </row>
    <row r="175" spans="1:4">
      <c r="A175" s="180" t="s">
        <v>435</v>
      </c>
      <c r="B175" s="17" t="s"/>
      <c r="C175" s="105" t="s"/>
      <c r="D175" s="173" t="s">
        <v>700</v>
      </c>
    </row>
    <row r="176" spans="1:4">
      <c r="A176" s="180" t="s">
        <v>436</v>
      </c>
      <c r="B176" s="17" t="s"/>
      <c r="C176" s="105" t="s"/>
      <c r="D176" s="173" t="s">
        <v>701</v>
      </c>
    </row>
    <row r="177" spans="1:4">
      <c r="A177" s="180" t="s">
        <v>437</v>
      </c>
      <c r="B177" s="17" t="s"/>
      <c r="C177" s="105" t="s"/>
      <c r="D177" s="182" t="s">
        <v>702</v>
      </c>
    </row>
    <row r="178" spans="1:4">
      <c r="A178" s="82" t="s">
        <v>440</v>
      </c>
      <c r="B178" s="47" t="s"/>
      <c r="C178" s="105" t="s"/>
      <c r="D178" s="182" t="s">
        <v>703</v>
      </c>
    </row>
    <row r="179" spans="1:4">
      <c r="A179" s="180" t="s">
        <v>441</v>
      </c>
      <c r="B179" s="17" t="s"/>
      <c r="C179" s="105" t="s"/>
      <c r="D179" s="182" t="s">
        <v>704</v>
      </c>
    </row>
    <row r="180" spans="1:4">
      <c r="A180" s="180" t="s">
        <v>442</v>
      </c>
      <c r="B180" s="17" t="s"/>
      <c r="C180" s="105" t="s"/>
      <c r="D180" s="182" t="s">
        <v>705</v>
      </c>
    </row>
    <row r="181" spans="1:4" ht="15" thickBot="true">
      <c r="A181" s="59" t="s">
        <v>443</v>
      </c>
      <c r="B181" s="60" t="s"/>
      <c r="C181" s="184" t="s"/>
      <c r="D181" s="185" t="s"/>
    </row>
    <row r="182" spans="1:4" ht="15" thickBot="true">
      <c r="A182" s="175" t="s">
        <v>444</v>
      </c>
      <c r="B182" s="176" t="s"/>
      <c r="C182" s="204" t="s"/>
      <c r="D182" s="177" t="s">
        <v>706</v>
      </c>
    </row>
    <row r="183" spans="1:4">
      <c r="A183" s="180" t="s">
        <v>445</v>
      </c>
      <c r="B183" s="17" t="s"/>
      <c r="C183" s="97" t="s">
        <v>446</v>
      </c>
      <c r="D183" s="182" t="s">
        <v>707</v>
      </c>
    </row>
    <row r="184" spans="1:4">
      <c r="A184" s="180" t="s"/>
      <c r="B184" s="17" t="s"/>
      <c r="C184" s="97" t="s">
        <v>447</v>
      </c>
      <c r="D184" s="182" t="s"/>
    </row>
    <row r="185" spans="1:4">
      <c r="A185" s="180" t="s"/>
      <c r="B185" s="17" t="s"/>
      <c r="C185" s="97" t="s">
        <v>448</v>
      </c>
      <c r="D185" s="182" t="s"/>
    </row>
    <row r="186" spans="1:4" ht="15" thickBot="true">
      <c r="A186" s="180" t="s"/>
      <c r="B186" s="17" t="s"/>
      <c r="C186" s="97" t="s">
        <v>449</v>
      </c>
      <c r="D186" s="182" t="s"/>
    </row>
    <row r="187" spans="1:4" ht="15" thickBot="true">
      <c r="A187" s="175" t="s">
        <v>10</v>
      </c>
      <c r="B187" s="176" t="s"/>
      <c r="C187" s="204" t="s"/>
      <c r="D187" s="177" t="s">
        <v>708</v>
      </c>
    </row>
    <row r="188" spans="1:4">
      <c r="A188" s="134" t="s">
        <v>450</v>
      </c>
      <c r="B188" s="135" t="s"/>
      <c r="C188" s="184" t="s"/>
      <c r="D188" s="205" t="s"/>
    </row>
    <row r="189" spans="1:4">
      <c r="A189" s="188" t="s">
        <v>451</v>
      </c>
      <c r="B189" s="189" t="s"/>
      <c r="C189" s="97" t="s"/>
      <c r="D189" s="182" t="s">
        <v>814</v>
      </c>
    </row>
    <row r="190" spans="1:4">
      <c r="A190" s="180" t="s">
        <v>452</v>
      </c>
      <c r="B190" s="180" t="s"/>
      <c r="C190" s="97" t="s">
        <v>277</v>
      </c>
      <c r="D190" s="202" t="s">
        <v>709</v>
      </c>
    </row>
    <row r="191" spans="1:4">
      <c r="A191" s="180" t="s"/>
      <c r="B191" s="17" t="s"/>
      <c r="C191" s="97" t="s">
        <v>279</v>
      </c>
      <c r="D191" s="182" t="s"/>
    </row>
    <row r="192" spans="1:4">
      <c r="A192" s="180" t="s"/>
      <c r="B192" s="17" t="s"/>
      <c r="C192" s="97" t="s">
        <v>453</v>
      </c>
      <c r="D192" s="182" t="s"/>
    </row>
    <row r="193" spans="1:4">
      <c r="A193" s="180" t="s">
        <v>454</v>
      </c>
      <c r="B193" s="17" t="s"/>
      <c r="C193" s="105" t="s"/>
      <c r="D193" s="182" t="s">
        <v>710</v>
      </c>
    </row>
    <row r="194" spans="1:4">
      <c r="A194" s="183" t="s">
        <v>455</v>
      </c>
      <c r="B194" s="183" t="s"/>
      <c r="C194" s="105" t="s"/>
      <c r="D194" s="182" t="s">
        <v>711</v>
      </c>
    </row>
    <row r="195" spans="1:4">
      <c r="A195" s="180" t="s">
        <v>456</v>
      </c>
      <c r="B195" s="17" t="s"/>
      <c r="C195" s="105" t="s"/>
      <c r="D195" s="182" t="s">
        <v>712</v>
      </c>
    </row>
    <row r="196" spans="1:4">
      <c r="A196" s="180" t="s">
        <v>457</v>
      </c>
      <c r="B196" s="17" t="s"/>
      <c r="C196" s="105" t="s"/>
      <c r="D196" s="182" t="s">
        <v>713</v>
      </c>
    </row>
    <row r="197" spans="1:4">
      <c r="A197" s="188" t="s">
        <v>458</v>
      </c>
      <c r="B197" s="189" t="s"/>
      <c r="C197" s="105" t="s"/>
      <c r="D197" s="182" t="s">
        <v>815</v>
      </c>
    </row>
    <row r="198" spans="1:4">
      <c r="A198" s="180" t="s">
        <v>459</v>
      </c>
      <c r="B198" s="17" t="s"/>
      <c r="C198" s="105" t="s"/>
      <c r="D198" s="182" t="s">
        <v>714</v>
      </c>
    </row>
    <row r="199" spans="1:4">
      <c r="A199" s="84" t="s">
        <v>460</v>
      </c>
      <c r="B199" s="85" t="s"/>
      <c r="C199" s="184" t="s"/>
      <c r="D199" s="184" t="s"/>
    </row>
    <row r="200" spans="1:4">
      <c r="A200" s="188" t="s">
        <v>461</v>
      </c>
      <c r="B200" s="189" t="s"/>
      <c r="C200" s="105" t="s"/>
      <c r="D200" s="182" t="s">
        <v>816</v>
      </c>
    </row>
    <row r="201" spans="1:4">
      <c r="A201" s="188" t="s">
        <v>462</v>
      </c>
      <c r="B201" s="189" t="s"/>
      <c r="C201" s="105" t="s"/>
      <c r="D201" s="182" t="s">
        <v>817</v>
      </c>
    </row>
    <row r="202" spans="1:4">
      <c r="A202" s="188" t="s">
        <v>463</v>
      </c>
      <c r="B202" s="189" t="s"/>
      <c r="C202" s="105" t="s"/>
      <c r="D202" s="182" t="s">
        <v>818</v>
      </c>
    </row>
    <row r="203" spans="1:4">
      <c r="A203" s="188" t="s">
        <v>464</v>
      </c>
      <c r="B203" s="189" t="s"/>
      <c r="C203" s="105" t="s"/>
      <c r="D203" s="182" t="s">
        <v>819</v>
      </c>
    </row>
    <row r="204" spans="1:4">
      <c r="A204" s="180" t="s">
        <v>466</v>
      </c>
      <c r="B204" s="17" t="s"/>
      <c r="C204" s="105" t="s"/>
      <c r="D204" s="182" t="s">
        <v>715</v>
      </c>
    </row>
    <row r="205" spans="1:4">
      <c r="A205" s="188" t="s">
        <v>468</v>
      </c>
      <c r="B205" s="189" t="s"/>
      <c r="C205" s="105" t="s"/>
      <c r="D205" s="182" t="s">
        <v>820</v>
      </c>
    </row>
    <row r="206" spans="1:4" ht="15" thickBot="true">
      <c r="A206" s="59" t="s">
        <v>470</v>
      </c>
      <c r="B206" s="60" t="s"/>
      <c r="C206" s="184" t="s"/>
      <c r="D206" s="184" t="s"/>
    </row>
    <row r="207" spans="1:4" ht="15" thickBot="true">
      <c r="A207" s="190" t="s">
        <v>470</v>
      </c>
      <c r="B207" s="176" t="s"/>
      <c r="C207" s="105" t="s"/>
      <c r="D207" s="192" t="s">
        <v>716</v>
      </c>
    </row>
    <row r="208" spans="1:4">
      <c r="A208" s="180" t="s">
        <v>475</v>
      </c>
      <c r="B208" s="17" t="s"/>
      <c r="C208" s="105" t="s"/>
      <c r="D208" s="182" t="s">
        <v>717</v>
      </c>
    </row>
    <row r="209" spans="1:4">
      <c r="A209" s="180" t="s">
        <v>476</v>
      </c>
      <c r="B209" s="17" t="s"/>
      <c r="C209" s="105" t="s"/>
      <c r="D209" s="173" t="s">
        <v>718</v>
      </c>
    </row>
    <row r="210" spans="1:4">
      <c r="A210" s="180" t="s">
        <v>477</v>
      </c>
      <c r="B210" s="17" t="s"/>
      <c r="C210" s="105" t="s"/>
      <c r="D210" s="173" t="s">
        <v>719</v>
      </c>
    </row>
    <row r="211" spans="1:4">
      <c r="A211" s="180" t="s">
        <v>478</v>
      </c>
      <c r="B211" s="17" t="s"/>
      <c r="C211" s="105" t="s"/>
      <c r="D211" s="173" t="s">
        <v>720</v>
      </c>
    </row>
    <row r="212" spans="1:4">
      <c r="A212" s="180" t="s">
        <v>479</v>
      </c>
      <c r="B212" s="17" t="s"/>
      <c r="C212" s="105" t="s"/>
      <c r="D212" s="173" t="s">
        <v>721</v>
      </c>
    </row>
    <row r="213" spans="1:4">
      <c r="A213" s="180" t="s">
        <v>480</v>
      </c>
      <c r="B213" s="17" t="s"/>
      <c r="C213" s="105" t="s"/>
      <c r="D213" s="173" t="s">
        <v>722</v>
      </c>
    </row>
    <row r="214" spans="1:4">
      <c r="A214" s="180" t="s">
        <v>481</v>
      </c>
      <c r="B214" s="17" t="s"/>
      <c r="C214" s="97" t="s">
        <v>482</v>
      </c>
      <c r="D214" s="182" t="s">
        <v>723</v>
      </c>
    </row>
    <row r="215" spans="1:4">
      <c r="A215" s="180" t="s"/>
      <c r="B215" s="17" t="s"/>
      <c r="C215" s="97" t="s">
        <v>483</v>
      </c>
      <c r="D215" s="182" t="s"/>
    </row>
    <row r="216" spans="1:4">
      <c r="A216" s="180" t="s">
        <v>484</v>
      </c>
      <c r="B216" s="17" t="s"/>
      <c r="C216" s="97" t="s"/>
      <c r="D216" s="173" t="s">
        <v>724</v>
      </c>
    </row>
    <row r="217" spans="1:4">
      <c r="A217" s="180" t="s">
        <v>485</v>
      </c>
      <c r="B217" s="17" t="s"/>
      <c r="C217" s="97" t="s"/>
      <c r="D217" s="173" t="s">
        <v>725</v>
      </c>
    </row>
    <row r="218" spans="1:4">
      <c r="A218" s="180" t="s">
        <v>486</v>
      </c>
      <c r="B218" s="17" t="s"/>
      <c r="C218" s="97" t="s"/>
      <c r="D218" s="173" t="s">
        <v>726</v>
      </c>
    </row>
    <row r="219" spans="1:4">
      <c r="A219" s="180" t="s">
        <v>487</v>
      </c>
      <c r="B219" s="17" t="s"/>
      <c r="C219" s="97" t="s"/>
      <c r="D219" s="182" t="s">
        <v>727</v>
      </c>
    </row>
    <row r="220" spans="1:4">
      <c r="A220" s="82" t="s">
        <v>491</v>
      </c>
      <c r="B220" s="17" t="s"/>
      <c r="C220" s="105" t="s"/>
      <c r="D220" s="182" t="s">
        <v>728</v>
      </c>
    </row>
    <row r="221" spans="1:4">
      <c r="A221" s="180" t="s">
        <v>492</v>
      </c>
      <c r="B221" s="17" t="s"/>
      <c r="C221" s="97" t="s"/>
      <c r="D221" s="182" t="s">
        <v>729</v>
      </c>
    </row>
    <row r="222" spans="1:4">
      <c r="A222" s="84" t="s">
        <v>494</v>
      </c>
      <c r="B222" s="85" t="s"/>
      <c r="C222" s="184" t="s"/>
      <c r="D222" s="184" t="s"/>
    </row>
    <row r="223" spans="1:4">
      <c r="A223" s="180" t="s">
        <v>494</v>
      </c>
      <c r="B223" s="17" t="s"/>
      <c r="C223" s="105" t="s"/>
      <c r="D223" s="182" t="s">
        <v>730</v>
      </c>
    </row>
    <row r="224" spans="1:4">
      <c r="A224" s="180" t="s">
        <v>495</v>
      </c>
      <c r="B224" s="17" t="s"/>
      <c r="C224" s="105" t="s"/>
      <c r="D224" s="182" t="s">
        <v>731</v>
      </c>
    </row>
    <row r="225" spans="1:4">
      <c r="A225" s="180" t="s">
        <v>496</v>
      </c>
      <c r="B225" s="17" t="s"/>
      <c r="C225" s="105" t="s"/>
      <c r="D225" s="173" t="s">
        <v>732</v>
      </c>
    </row>
    <row r="226" spans="1:4">
      <c r="A226" s="180" t="s">
        <v>497</v>
      </c>
      <c r="B226" s="17" t="s"/>
      <c r="C226" s="105" t="s"/>
      <c r="D226" s="173" t="s">
        <v>733</v>
      </c>
    </row>
    <row r="227" spans="1:4">
      <c r="A227" s="180" t="s">
        <v>498</v>
      </c>
      <c r="B227" s="17" t="s"/>
      <c r="C227" s="97" t="s">
        <v>482</v>
      </c>
      <c r="D227" s="182" t="s">
        <v>734</v>
      </c>
    </row>
    <row r="228" spans="1:4">
      <c r="A228" s="180" t="s"/>
      <c r="B228" s="17" t="s"/>
      <c r="C228" s="97" t="s">
        <v>483</v>
      </c>
      <c r="D228" s="182" t="s"/>
    </row>
    <row r="229" spans="1:4">
      <c r="A229" s="180" t="s">
        <v>499</v>
      </c>
      <c r="B229" s="17" t="s"/>
      <c r="C229" s="97" t="s"/>
      <c r="D229" s="173" t="s">
        <v>735</v>
      </c>
    </row>
    <row r="230" spans="1:4">
      <c r="A230" s="180" t="s">
        <v>500</v>
      </c>
      <c r="B230" s="17" t="s"/>
      <c r="C230" s="97" t="s"/>
      <c r="D230" s="173" t="s">
        <v>736</v>
      </c>
    </row>
    <row r="231" spans="1:4">
      <c r="A231" s="180" t="s">
        <v>501</v>
      </c>
      <c r="B231" s="17" t="s"/>
      <c r="C231" s="97" t="s"/>
      <c r="D231" s="173" t="s">
        <v>737</v>
      </c>
    </row>
    <row r="232" spans="1:4">
      <c r="A232" s="84" t="s">
        <v>502</v>
      </c>
      <c r="B232" s="142" t="s"/>
      <c r="C232" s="184" t="s"/>
      <c r="D232" s="184" t="s"/>
    </row>
    <row r="233" spans="1:4">
      <c r="A233" s="180" t="s">
        <v>503</v>
      </c>
      <c r="B233" s="17" t="s"/>
      <c r="C233" s="143" t="s">
        <v>504</v>
      </c>
      <c r="D233" s="182" t="s">
        <v>738</v>
      </c>
    </row>
    <row r="234" spans="1:4">
      <c r="A234" s="180" t="s"/>
      <c r="B234" s="17" t="s"/>
      <c r="C234" s="97" t="s">
        <v>505</v>
      </c>
      <c r="D234" s="182" t="s"/>
    </row>
    <row r="235" spans="1:4">
      <c r="A235" s="180" t="s"/>
      <c r="B235" s="17" t="s"/>
      <c r="C235" s="97" t="s">
        <v>506</v>
      </c>
      <c r="D235" s="182" t="s"/>
    </row>
    <row r="236" spans="1:4">
      <c r="A236" s="180" t="s">
        <v>507</v>
      </c>
      <c r="B236" s="17" t="s"/>
      <c r="C236" s="97" t="s">
        <v>508</v>
      </c>
      <c r="D236" s="182" t="s">
        <v>739</v>
      </c>
    </row>
    <row r="237" spans="1:4">
      <c r="A237" s="180" t="s"/>
      <c r="B237" s="17" t="s"/>
      <c r="C237" s="97" t="s">
        <v>509</v>
      </c>
      <c r="D237" s="182" t="s"/>
    </row>
    <row r="238" spans="1:4">
      <c r="A238" s="180" t="s"/>
      <c r="B238" s="17" t="s"/>
      <c r="C238" s="97" t="s">
        <v>510</v>
      </c>
      <c r="D238" s="182" t="s"/>
    </row>
    <row r="239" spans="1:4">
      <c r="A239" s="180" t="s">
        <v>511</v>
      </c>
      <c r="B239" s="17" t="s"/>
      <c r="C239" s="97" t="s"/>
      <c r="D239" s="182" t="s">
        <v>740</v>
      </c>
    </row>
    <row r="240" spans="1:4">
      <c r="A240" s="84" t="s">
        <v>512</v>
      </c>
      <c r="B240" s="142" t="s"/>
      <c r="C240" s="184" t="s"/>
      <c r="D240" s="184" t="s"/>
    </row>
    <row r="241" spans="1:4">
      <c r="A241" s="188" t="s">
        <v>513</v>
      </c>
      <c r="B241" s="189" t="s"/>
      <c r="C241" s="105" t="s"/>
      <c r="D241" s="182" t="s">
        <v>821</v>
      </c>
    </row>
    <row r="242" spans="1:4">
      <c r="A242" s="180" t="s">
        <v>515</v>
      </c>
      <c r="B242" s="17" t="s"/>
      <c r="C242" s="105" t="s"/>
      <c r="D242" s="182" t="s">
        <v>741</v>
      </c>
    </row>
    <row r="243" spans="1:4">
      <c r="A243" s="84" t="s">
        <v>517</v>
      </c>
      <c r="B243" s="85" t="s"/>
      <c r="C243" s="184" t="s"/>
      <c r="D243" s="184" t="s"/>
    </row>
    <row r="244" spans="1:4">
      <c r="A244" s="180" t="s">
        <v>518</v>
      </c>
      <c r="B244" s="180" t="s"/>
      <c r="C244" s="105" t="s"/>
      <c r="D244" s="173" t="s">
        <v>742</v>
      </c>
    </row>
    <row r="245" spans="1:4">
      <c r="A245" s="180" t="s">
        <v>520</v>
      </c>
      <c r="B245" s="180" t="s"/>
      <c r="C245" s="105" t="s"/>
      <c r="D245" s="173" t="s">
        <v>743</v>
      </c>
    </row>
    <row r="246" spans="1:4">
      <c r="A246" s="183" t="s">
        <v>521</v>
      </c>
      <c r="B246" s="183" t="s"/>
      <c r="C246" s="105" t="s"/>
      <c r="D246" s="173" t="s">
        <v>744</v>
      </c>
    </row>
    <row r="247" spans="1:4">
      <c r="A247" s="34" t="s">
        <v>522</v>
      </c>
      <c r="B247" s="35" t="s"/>
      <c r="C247" s="174" t="s"/>
      <c r="D247" s="174" t="s"/>
    </row>
    <row r="248" spans="1:4">
      <c r="A248" s="134" t="s">
        <v>523</v>
      </c>
      <c r="B248" s="135" t="s"/>
      <c r="C248" s="149" t="s"/>
      <c r="D248" s="184" t="s"/>
    </row>
    <row r="249" spans="1:4">
      <c r="A249" s="180" t="s">
        <v>524</v>
      </c>
      <c r="B249" s="180" t="s"/>
      <c r="C249" s="63" t="s">
        <v>632</v>
      </c>
      <c r="D249" s="173" t="s">
        <v>745</v>
      </c>
    </row>
    <row r="250" spans="1:4">
      <c r="A250" s="180" t="s">
        <v>525</v>
      </c>
      <c r="B250" s="180" t="s"/>
      <c r="C250" s="63" t="s">
        <v>632</v>
      </c>
      <c r="D250" s="173" t="s">
        <v>746</v>
      </c>
    </row>
    <row r="251" spans="1:4">
      <c r="A251" s="134" t="s">
        <v>526</v>
      </c>
      <c r="B251" s="135" t="s"/>
      <c r="C251" s="149" t="s"/>
      <c r="D251" s="184" t="s"/>
    </row>
    <row r="252" spans="1:4">
      <c r="A252" s="180" t="s">
        <v>527</v>
      </c>
      <c r="B252" s="180" t="s"/>
      <c r="C252" s="105" t="s"/>
      <c r="D252" s="182" t="s">
        <v>747</v>
      </c>
    </row>
    <row r="253" spans="1:4">
      <c r="A253" s="180" t="s">
        <v>524</v>
      </c>
      <c r="B253" s="180" t="s"/>
      <c r="C253" s="105" t="s"/>
      <c r="D253" s="173" t="s">
        <v>745</v>
      </c>
    </row>
    <row r="254" spans="1:4">
      <c r="A254" s="180" t="s">
        <v>531</v>
      </c>
      <c r="B254" s="180" t="s"/>
      <c r="C254" s="63" t="s">
        <v>632</v>
      </c>
      <c r="D254" s="173" t="s">
        <v>748</v>
      </c>
    </row>
    <row r="255" spans="1:4">
      <c r="A255" s="180" t="s">
        <v>525</v>
      </c>
      <c r="B255" s="180" t="s"/>
      <c r="C255" s="105" t="s"/>
      <c r="D255" s="173" t="s">
        <v>746</v>
      </c>
    </row>
    <row r="256" spans="1:4">
      <c r="A256" s="134" t="s">
        <v>533</v>
      </c>
      <c r="B256" s="135" t="s"/>
      <c r="C256" s="149" t="s"/>
      <c r="D256" s="184" t="s"/>
    </row>
    <row r="257" spans="1:4">
      <c r="A257" s="180" t="s">
        <v>524</v>
      </c>
      <c r="B257" s="180" t="s"/>
      <c r="C257" s="105" t="s"/>
      <c r="D257" s="173" t="s">
        <v>745</v>
      </c>
    </row>
    <row r="258" spans="1:4">
      <c r="A258" s="180" t="s">
        <v>531</v>
      </c>
      <c r="B258" s="180" t="s"/>
      <c r="C258" s="187" t="s">
        <v>632</v>
      </c>
      <c r="D258" s="173" t="s">
        <v>748</v>
      </c>
    </row>
    <row r="259" spans="1:4">
      <c r="A259" s="180" t="s">
        <v>525</v>
      </c>
      <c r="B259" s="180" t="s"/>
      <c r="C259" s="105" t="s"/>
      <c r="D259" s="173" t="s">
        <v>746</v>
      </c>
    </row>
    <row r="260" spans="1:4">
      <c r="A260" s="180" t="s">
        <v>534</v>
      </c>
      <c r="B260" s="180" t="s"/>
      <c r="C260" s="105" t="s"/>
      <c r="D260" s="182" t="s">
        <v>749</v>
      </c>
    </row>
    <row r="261" spans="1:4">
      <c r="A261" s="34" t="s">
        <v>536</v>
      </c>
      <c r="B261" s="35" t="s"/>
      <c r="C261" s="174" t="s"/>
      <c r="D261" s="174" t="s"/>
    </row>
    <row r="262" spans="1:4">
      <c r="A262" s="134" t="s">
        <v>750</v>
      </c>
      <c r="B262" s="135" t="s"/>
      <c r="C262" s="205" t="s"/>
      <c r="D262" s="205" t="s"/>
    </row>
    <row r="263" spans="1:4">
      <c r="A263" s="180" t="s">
        <v>538</v>
      </c>
      <c r="B263" s="180" t="s"/>
      <c r="C263" s="105" t="s"/>
      <c r="D263" s="173" t="s">
        <v>751</v>
      </c>
    </row>
    <row r="264" spans="1:4">
      <c r="A264" s="180" t="s">
        <v>539</v>
      </c>
      <c r="B264" s="180" t="s"/>
      <c r="C264" s="105" t="s"/>
      <c r="D264" s="173" t="s">
        <v>752</v>
      </c>
    </row>
    <row r="265" spans="1:4">
      <c r="A265" s="180" t="s">
        <v>753</v>
      </c>
      <c r="B265" s="180" t="s"/>
      <c r="C265" s="105" t="s"/>
      <c r="D265" s="181" t="s">
        <v>754</v>
      </c>
    </row>
    <row r="266" spans="1:4">
      <c r="A266" s="180" t="s">
        <v>541</v>
      </c>
      <c r="B266" s="180" t="s"/>
      <c r="C266" s="105" t="s"/>
      <c r="D266" s="173" t="s">
        <v>755</v>
      </c>
    </row>
    <row r="267" spans="1:4">
      <c r="A267" s="180" t="s">
        <v>542</v>
      </c>
      <c r="B267" s="180" t="s"/>
      <c r="C267" s="105" t="s"/>
      <c r="D267" s="181" t="s">
        <v>756</v>
      </c>
    </row>
    <row r="268" spans="1:4">
      <c r="A268" s="206" t="s">
        <v>543</v>
      </c>
      <c r="B268" s="206" t="s"/>
      <c r="C268" s="105" t="s"/>
      <c r="D268" s="173" t="s">
        <v>757</v>
      </c>
    </row>
    <row r="269" spans="1:4">
      <c r="A269" s="134" t="s">
        <v>758</v>
      </c>
      <c r="B269" s="135" t="s"/>
      <c r="C269" s="205" t="s"/>
      <c r="D269" s="205" t="s"/>
    </row>
    <row r="270" spans="1:4">
      <c r="A270" s="180" t="s">
        <v>538</v>
      </c>
      <c r="B270" s="180" t="s"/>
      <c r="C270" s="105" t="s"/>
      <c r="D270" s="173" t="s">
        <v>751</v>
      </c>
    </row>
    <row r="271" spans="1:4">
      <c r="A271" s="180" t="s">
        <v>539</v>
      </c>
      <c r="B271" s="180" t="s"/>
      <c r="C271" s="105" t="s"/>
      <c r="D271" s="173" t="s">
        <v>752</v>
      </c>
    </row>
    <row r="272" spans="1:4">
      <c r="A272" s="180" t="s">
        <v>753</v>
      </c>
      <c r="B272" s="180" t="s"/>
      <c r="C272" s="105" t="s"/>
      <c r="D272" s="181" t="s">
        <v>754</v>
      </c>
    </row>
    <row r="273" spans="1:4">
      <c r="A273" s="180" t="s">
        <v>541</v>
      </c>
      <c r="B273" s="180" t="s"/>
      <c r="C273" s="105" t="s"/>
      <c r="D273" s="173" t="s">
        <v>755</v>
      </c>
    </row>
    <row r="274" spans="1:4">
      <c r="A274" s="180" t="s">
        <v>542</v>
      </c>
      <c r="B274" s="180" t="s"/>
      <c r="C274" s="105" t="s"/>
      <c r="D274" s="181" t="s">
        <v>756</v>
      </c>
    </row>
    <row r="275" spans="1:4">
      <c r="A275" s="206" t="s">
        <v>543</v>
      </c>
      <c r="B275" s="206" t="s"/>
      <c r="C275" s="105" t="s"/>
      <c r="D275" s="173" t="s">
        <v>757</v>
      </c>
    </row>
    <row r="276" spans="1:4">
      <c r="A276" s="134" t="s">
        <v>759</v>
      </c>
      <c r="B276" s="135" t="s"/>
      <c r="C276" s="205" t="s"/>
      <c r="D276" s="205" t="s"/>
    </row>
    <row r="277" spans="1:4">
      <c r="A277" s="180" t="s">
        <v>538</v>
      </c>
      <c r="B277" s="180" t="s"/>
      <c r="C277" s="105" t="s"/>
      <c r="D277" s="173" t="s">
        <v>751</v>
      </c>
    </row>
    <row r="278" spans="1:4">
      <c r="A278" s="180" t="s">
        <v>539</v>
      </c>
      <c r="B278" s="180" t="s"/>
      <c r="C278" s="105" t="s"/>
      <c r="D278" s="173" t="s">
        <v>752</v>
      </c>
    </row>
    <row r="279" spans="1:4">
      <c r="A279" s="180" t="s">
        <v>753</v>
      </c>
      <c r="B279" s="180" t="s"/>
      <c r="C279" s="105" t="s"/>
      <c r="D279" s="181" t="s">
        <v>754</v>
      </c>
    </row>
    <row r="280" spans="1:4">
      <c r="A280" s="180" t="s">
        <v>541</v>
      </c>
      <c r="B280" s="180" t="s"/>
      <c r="C280" s="105" t="s"/>
      <c r="D280" s="173" t="s">
        <v>755</v>
      </c>
    </row>
    <row r="281" spans="1:4">
      <c r="A281" s="180" t="s">
        <v>542</v>
      </c>
      <c r="B281" s="180" t="s"/>
      <c r="C281" s="105" t="s"/>
      <c r="D281" s="181" t="s">
        <v>756</v>
      </c>
    </row>
    <row r="282" spans="1:4">
      <c r="A282" s="207" t="s">
        <v>543</v>
      </c>
      <c r="B282" s="207" t="s"/>
      <c r="C282" s="208" t="s"/>
      <c r="D282" s="209" t="s">
        <v>757</v>
      </c>
    </row>
  </sheetData>
  <dataValidations>
    <dataValidation type="textLength" operator="between" allowBlank="true" showInputMessage="true" showErrorMessage="true" errorTitle="Orange Variant name" error="Alphanumeric size 120 characters exceeded" sqref="E22">
      <formula1>0</formula1>
      <formula2>120</formula2>
    </dataValidation>
    <dataValidation type="textLength" operator="between" allowBlank="true" showInputMessage="true" showErrorMessage="true" errorTitle="Orange Variant name" error="Alphanumeric size 120 characters exceeded" sqref="F22">
      <formula1>0</formula1>
      <formula2>120</formula2>
    </dataValidation>
    <dataValidation type="textLength" operator="between" allowBlank="true" showInputMessage="true" showErrorMessage="true" errorTitle="Orange Variant name" error="Alphanumeric size 120 characters exceeded" sqref="G22">
      <formula1>0</formula1>
      <formula2>120</formula2>
    </dataValidation>
    <dataValidation type="textLength" operator="between" allowBlank="true" showInputMessage="true" showErrorMessage="true" errorTitle="Orange Variant name" error="Alphanumeric size 120 characters exceeded" sqref="H22">
      <formula1>0</formula1>
      <formula2>120</formula2>
    </dataValidation>
    <dataValidation type="textLength" operator="between" allowBlank="true" showInputMessage="true" showErrorMessage="true" errorTitle="Orange Variant name" error="Alphanumeric size 120 characters exceeded" sqref="I22">
      <formula1>0</formula1>
      <formula2>120</formula2>
    </dataValidation>
    <dataValidation type="textLength" operator="between" allowBlank="true" showInputMessage="true" showErrorMessage="true" errorTitle="Orange Variant name" error="Alphanumeric size 120 characters exceeded" sqref="J22">
      <formula1>0</formula1>
      <formula2>120</formula2>
    </dataValidation>
    <dataValidation type="textLength" operator="between" allowBlank="true" showInputMessage="true" showErrorMessage="true" errorTitle="Orange Variant name" error="Alphanumeric size 120 characters exceeded" sqref="K22">
      <formula1>0</formula1>
      <formula2>120</formula2>
    </dataValidation>
    <dataValidation type="textLength" operator="between" allowBlank="true" showInputMessage="true" showErrorMessage="true" errorTitle="Orange Variant name" error="Alphanumeric size 120 characters exceeded" sqref="L22">
      <formula1>0</formula1>
      <formula2>120</formula2>
    </dataValidation>
    <dataValidation type="textLength" operator="between" allowBlank="true" showInputMessage="true" showErrorMessage="true" errorTitle="Orange Variant name" error="Alphanumeric size 120 characters exceeded" sqref="M22">
      <formula1>0</formula1>
      <formula2>120</formula2>
    </dataValidation>
    <dataValidation type="textLength" operator="between" allowBlank="true" showInputMessage="true" showErrorMessage="true" errorTitle="Orange Variant name" error="Alphanumeric size 120 characters exceeded" sqref="N22">
      <formula1>0</formula1>
      <formula2>120</formula2>
    </dataValidation>
    <dataValidation type="textLength" operator="between" allowBlank="true" showInputMessage="true" showErrorMessage="true" errorTitle="Orange Variant name" error="Alphanumeric size 120 characters exceeded" sqref="O22">
      <formula1>0</formula1>
      <formula2>120</formula2>
    </dataValidation>
    <dataValidation type="textLength" operator="between" allowBlank="true" showInputMessage="true" showErrorMessage="true" errorTitle="Orange Variant name" error="Alphanumeric size 120 characters exceeded" sqref="P22">
      <formula1>0</formula1>
      <formula2>120</formula2>
    </dataValidation>
    <dataValidation type="textLength" operator="between" allowBlank="true" showInputMessage="true" showErrorMessage="true" errorTitle="Orange Variant name" error="Alphanumeric size 120 characters exceeded" sqref="Q22">
      <formula1>0</formula1>
      <formula2>120</formula2>
    </dataValidation>
    <dataValidation type="textLength" operator="between" allowBlank="true" showInputMessage="true" showErrorMessage="true" errorTitle="Orange Variant name" error="Alphanumeric size 120 characters exceeded" sqref="R22">
      <formula1>0</formula1>
      <formula2>120</formula2>
    </dataValidation>
    <dataValidation type="textLength" operator="between" allowBlank="true" showInputMessage="true" showErrorMessage="true" errorTitle="Orange Variant name" error="Alphanumeric size 120 characters exceeded" sqref="S22">
      <formula1>0</formula1>
      <formula2>120</formula2>
    </dataValidation>
    <dataValidation type="textLength" operator="between" allowBlank="true" showInputMessage="true" showErrorMessage="true" errorTitle="Orange Variant name" error="Alphanumeric size 120 characters exceeded" sqref="T22">
      <formula1>0</formula1>
      <formula2>120</formula2>
    </dataValidation>
    <dataValidation type="textLength" operator="between" allowBlank="true" showInputMessage="true" showErrorMessage="true" errorTitle="Orange Variant name" error="Alphanumeric size 120 characters exceeded" sqref="U22">
      <formula1>0</formula1>
      <formula2>120</formula2>
    </dataValidation>
    <dataValidation type="textLength" operator="between" allowBlank="true" showInputMessage="true" showErrorMessage="true" errorTitle="Orange Variant name" error="Alphanumeric size 120 characters exceeded" sqref="V22">
      <formula1>0</formula1>
      <formula2>120</formula2>
    </dataValidation>
    <dataValidation type="textLength" operator="between" allowBlank="true" showInputMessage="true" showErrorMessage="true" errorTitle="Orange Variant name" error="Alphanumeric size 120 characters exceeded" sqref="W22">
      <formula1>0</formula1>
      <formula2>120</formula2>
    </dataValidation>
    <dataValidation type="textLength" operator="between" allowBlank="true" showInputMessage="true" showErrorMessage="true" errorTitle="Orange Variant name" error="Alphanumeric size 120 characters exceeded" sqref="X22">
      <formula1>0</formula1>
      <formula2>120</formula2>
    </dataValidation>
    <dataValidation type="textLength" operator="between" allowBlank="true" showInputMessage="true" showErrorMessage="true" errorTitle="Orange Variant name" error="Alphanumeric size 120 characters exceeded" sqref="Y22">
      <formula1>0</formula1>
      <formula2>120</formula2>
    </dataValidation>
    <dataValidation type="textLength" operator="between" allowBlank="true" showInputMessage="true" showErrorMessage="true" errorTitle="Orange Variant name" error="Alphanumeric size 120 characters exceeded" sqref="Z22">
      <formula1>0</formula1>
      <formula2>120</formula2>
    </dataValidation>
  </dataValidations>
  <pageMargins left="0.7" right="0.7" top="0.75" bottom="0.75" header="0.3" footer="0.3"/>
  <pageSetup paperSize="9" orientation="portrait"/>
  <headerFooter>
    <oddFooter>&amp;C&amp;1#&amp;"Helvetica 75 Bold"&amp;8&amp;KED7D31Orange Restricted</oddFooter>
  </headerFooter>
  <drawing r:id="rId0"/>
</worksheet>
</file>

<file path=xl/worksheets/sheet4.xml><?xml version="1.0" encoding="utf-8"?>
<worksheet xmlns="http://schemas.openxmlformats.org/spreadsheetml/2006/main">
  <sheetPr codeName="Feuil4">
    <tabColor rgb="FF0070C0"/>
  </sheetPr>
  <dimension ref="D124"/>
  <sheetViews>
    <sheetView showGridLines="true" workbookViewId="0"/>
  </sheetViews>
  <sheetFormatPr defaultColWidth="10.8164" defaultRowHeight="14.5"/>
  <cols>
    <col min="1" max="1" width="50.543" customWidth="true"/>
    <col min="2" max="2" width="65.7266" customWidth="true"/>
    <col min="3" max="3" width="52.2695" customWidth="true"/>
    <col min="4" max="4" width="42.8164" customWidth="true"/>
  </cols>
  <sheetData>
    <row r="1" spans="1:4" s="213" customFormat="true" ht="18.5">
      <c r="A1" s="155" t="s">
        <v>546</v>
      </c>
      <c r="B1" s="155" t="s"/>
      <c r="C1" s="155" t="s"/>
      <c r="D1" s="155" t="s"/>
    </row>
    <row r="2" spans="1:4" s="213" customFormat="true">
      <c r="A2" s="156" t="s">
        <v>547</v>
      </c>
      <c r="B2" s="157" t="s">
        <v>548</v>
      </c>
      <c r="C2" s="158" t="s">
        <v>549</v>
      </c>
      <c r="D2" s="159" t="s">
        <v>236</v>
      </c>
    </row>
    <row r="3" spans="1:4" s="213" customFormat="true">
      <c r="A3" s="160" t="s"/>
      <c r="B3" s="160" t="s">
        <v>259</v>
      </c>
      <c r="C3" s="160" t="s"/>
      <c r="D3" s="161" t="s">
        <v>550</v>
      </c>
    </row>
    <row r="4" spans="1:4" ht="18.5">
      <c r="A4" s="162" t="s">
        <v>551</v>
      </c>
      <c r="B4" s="162" t="s"/>
      <c r="C4" s="162" t="s"/>
      <c r="D4" s="162" t="s"/>
    </row>
    <row r="5" spans="1:4">
      <c r="A5" s="156" t="s">
        <v>547</v>
      </c>
      <c r="B5" s="157" t="s">
        <v>548</v>
      </c>
      <c r="C5" s="158" t="s">
        <v>549</v>
      </c>
      <c r="D5" s="159" t="s">
        <v>236</v>
      </c>
    </row>
    <row r="6" spans="1:4" ht="29">
      <c r="A6" s="5" t="s"/>
      <c r="B6" s="163" t="s">
        <v>763</v>
      </c>
      <c r="C6" s="160" t="s"/>
      <c r="D6" s="161" t="s">
        <v>552</v>
      </c>
    </row>
    <row r="7" spans="1:4" ht="18.5">
      <c r="A7" s="162" t="s">
        <v>553</v>
      </c>
      <c r="B7" s="162" t="s"/>
      <c r="C7" s="162" t="s"/>
      <c r="D7" s="162" t="s"/>
    </row>
    <row r="8" spans="1:4">
      <c r="A8" s="156" t="s">
        <v>547</v>
      </c>
      <c r="B8" s="157" t="s">
        <v>548</v>
      </c>
      <c r="C8" s="158" t="s">
        <v>549</v>
      </c>
      <c r="D8" s="159" t="s">
        <v>236</v>
      </c>
    </row>
    <row r="9" spans="1:4" ht="29">
      <c r="A9" s="5" t="s"/>
      <c r="B9" s="163" t="s">
        <v>763</v>
      </c>
      <c r="C9" s="160" t="s"/>
      <c r="D9" s="161" t="s">
        <v>554</v>
      </c>
    </row>
    <row r="10" spans="1:4" ht="18.5">
      <c r="A10" s="162" t="s">
        <v>555</v>
      </c>
      <c r="B10" s="162" t="s"/>
      <c r="C10" s="162" t="s"/>
      <c r="D10" s="162" t="s"/>
    </row>
    <row r="11" spans="1:4">
      <c r="A11" s="156" t="s">
        <v>547</v>
      </c>
      <c r="B11" s="157" t="s">
        <v>548</v>
      </c>
      <c r="C11" s="158" t="s">
        <v>549</v>
      </c>
      <c r="D11" s="159" t="s">
        <v>236</v>
      </c>
    </row>
    <row r="12" spans="1:4" ht="43.5">
      <c r="A12" s="5" t="s"/>
      <c r="B12" s="163" t="s">
        <v>763</v>
      </c>
      <c r="C12" s="160" t="s"/>
      <c r="D12" s="161" t="s">
        <v>556</v>
      </c>
    </row>
    <row r="13" spans="1:4" ht="18.5">
      <c r="A13" s="162" t="s">
        <v>557</v>
      </c>
      <c r="B13" s="162" t="s"/>
      <c r="C13" s="162" t="s"/>
      <c r="D13" s="162" t="s"/>
    </row>
    <row r="14" spans="1:4">
      <c r="A14" s="156" t="s">
        <v>547</v>
      </c>
      <c r="B14" s="157" t="s">
        <v>548</v>
      </c>
      <c r="C14" s="158" t="s">
        <v>549</v>
      </c>
      <c r="D14" s="159" t="s">
        <v>236</v>
      </c>
    </row>
    <row r="15" spans="1:4" ht="72.5">
      <c r="A15" s="5" t="s"/>
      <c r="B15" s="163" t="s">
        <v>764</v>
      </c>
      <c r="C15" s="160" t="s"/>
      <c r="D15" s="161" t="s"/>
    </row>
    <row r="16" spans="1:4" ht="18.5">
      <c r="A16" s="162" t="s">
        <v>558</v>
      </c>
      <c r="B16" s="162" t="s"/>
      <c r="C16" s="162" t="s"/>
      <c r="D16" s="162" t="s"/>
    </row>
    <row r="17" spans="1:4">
      <c r="A17" s="156" t="s">
        <v>547</v>
      </c>
      <c r="B17" s="157" t="s">
        <v>548</v>
      </c>
      <c r="C17" s="158" t="s">
        <v>549</v>
      </c>
      <c r="D17" s="159" t="s">
        <v>236</v>
      </c>
    </row>
    <row r="18" spans="1:4" ht="377">
      <c r="A18" s="5" t="s">
        <v>765</v>
      </c>
      <c r="B18" s="5" t="s">
        <v>766</v>
      </c>
      <c r="C18" s="160" t="s">
        <v>767</v>
      </c>
      <c r="D18" s="161" t="s"/>
    </row>
    <row r="19" spans="1:4" ht="18.5">
      <c r="A19" s="162" t="s">
        <v>559</v>
      </c>
      <c r="B19" s="162" t="s"/>
      <c r="C19" s="162" t="s"/>
      <c r="D19" s="162" t="s"/>
    </row>
    <row r="20" spans="1:4">
      <c r="A20" s="156" t="s">
        <v>547</v>
      </c>
      <c r="B20" s="157" t="s">
        <v>548</v>
      </c>
      <c r="C20" s="158" t="s">
        <v>549</v>
      </c>
      <c r="D20" s="159" t="s">
        <v>236</v>
      </c>
    </row>
    <row r="21" spans="1:4" ht="29">
      <c r="A21" s="5" t="s"/>
      <c r="B21" s="163" t="s">
        <v>768</v>
      </c>
      <c r="C21" s="160" t="s"/>
      <c r="D21" s="161" t="s">
        <v>560</v>
      </c>
    </row>
    <row r="22" spans="1:4" ht="18.5">
      <c r="A22" s="162" t="s">
        <v>561</v>
      </c>
      <c r="B22" s="162" t="s"/>
      <c r="C22" s="162" t="s"/>
      <c r="D22" s="162" t="s"/>
    </row>
    <row r="23" spans="1:4">
      <c r="A23" s="156" t="s">
        <v>547</v>
      </c>
      <c r="B23" s="157" t="s">
        <v>548</v>
      </c>
      <c r="C23" s="158" t="s">
        <v>549</v>
      </c>
      <c r="D23" s="159" t="s">
        <v>236</v>
      </c>
    </row>
    <row r="24" spans="1:4" ht="29">
      <c r="A24" s="5" t="s"/>
      <c r="B24" s="163" t="s">
        <v>769</v>
      </c>
      <c r="C24" s="160" t="s"/>
      <c r="D24" s="161" t="s">
        <v>562</v>
      </c>
    </row>
    <row r="25" spans="1:4" ht="18.5">
      <c r="A25" s="162" t="s">
        <v>563</v>
      </c>
      <c r="B25" s="162" t="s"/>
      <c r="C25" s="162" t="s"/>
      <c r="D25" s="162" t="s"/>
    </row>
    <row r="26" spans="1:4">
      <c r="A26" s="156" t="s">
        <v>547</v>
      </c>
      <c r="B26" s="157" t="s">
        <v>548</v>
      </c>
      <c r="C26" s="158" t="s">
        <v>549</v>
      </c>
      <c r="D26" s="159" t="s">
        <v>236</v>
      </c>
    </row>
    <row r="27" spans="1:4" ht="58">
      <c r="A27" s="5" t="s"/>
      <c r="B27" s="164" t="s">
        <v>564</v>
      </c>
      <c r="C27" s="160" t="s"/>
      <c r="D27" s="161" t="s">
        <v>565</v>
      </c>
    </row>
    <row r="28" spans="1:4" ht="18.5">
      <c r="A28" s="162" t="s">
        <v>566</v>
      </c>
      <c r="B28" s="162" t="s"/>
      <c r="C28" s="162" t="s"/>
      <c r="D28" s="162" t="s"/>
    </row>
    <row r="29" spans="1:4">
      <c r="A29" s="156" t="s">
        <v>547</v>
      </c>
      <c r="B29" s="157" t="s">
        <v>548</v>
      </c>
      <c r="C29" s="158" t="s">
        <v>549</v>
      </c>
      <c r="D29" s="159" t="s">
        <v>236</v>
      </c>
    </row>
    <row r="30" spans="1:4" ht="145">
      <c r="A30" s="5" t="s">
        <v>770</v>
      </c>
      <c r="B30" s="165" t="s">
        <v>771</v>
      </c>
      <c r="C30" s="160" t="s"/>
      <c r="D30" s="161" t="s">
        <v>772</v>
      </c>
    </row>
    <row r="31" spans="1:4" ht="18.5">
      <c r="A31" s="162" t="s">
        <v>567</v>
      </c>
      <c r="B31" s="162" t="s"/>
      <c r="C31" s="162" t="s"/>
      <c r="D31" s="162" t="s"/>
    </row>
    <row r="32" spans="1:4">
      <c r="A32" s="156" t="s">
        <v>547</v>
      </c>
      <c r="B32" s="157" t="s">
        <v>548</v>
      </c>
      <c r="C32" s="158" t="s">
        <v>549</v>
      </c>
      <c r="D32" s="159" t="s">
        <v>236</v>
      </c>
    </row>
    <row r="33" spans="1:4" ht="58">
      <c r="A33" s="160" t="s"/>
      <c r="B33" s="160" t="s">
        <v>773</v>
      </c>
      <c r="C33" s="160" t="s"/>
      <c r="D33" s="161" t="s">
        <v>568</v>
      </c>
    </row>
    <row r="34" spans="1:4" ht="18.5">
      <c r="A34" s="162" t="s">
        <v>569</v>
      </c>
      <c r="B34" s="162" t="s"/>
      <c r="C34" s="162" t="s"/>
      <c r="D34" s="162" t="s"/>
    </row>
    <row r="35" spans="1:4">
      <c r="A35" s="156" t="s">
        <v>547</v>
      </c>
      <c r="B35" s="157" t="s">
        <v>548</v>
      </c>
      <c r="C35" s="158" t="s">
        <v>549</v>
      </c>
      <c r="D35" s="159" t="s">
        <v>236</v>
      </c>
    </row>
    <row r="36" spans="1:4" ht="29">
      <c r="A36" s="160" t="s"/>
      <c r="B36" s="160" t="s">
        <v>774</v>
      </c>
      <c r="C36" s="160" t="s"/>
      <c r="D36" s="161" t="s">
        <v>568</v>
      </c>
    </row>
    <row r="37" spans="1:4" ht="18.5">
      <c r="A37" s="162" t="s">
        <v>570</v>
      </c>
      <c r="B37" s="162" t="s"/>
      <c r="C37" s="162" t="s"/>
      <c r="D37" s="162" t="s"/>
    </row>
    <row r="38" spans="1:4">
      <c r="A38" s="156" t="s">
        <v>547</v>
      </c>
      <c r="B38" s="157" t="s">
        <v>548</v>
      </c>
      <c r="C38" s="158" t="s">
        <v>549</v>
      </c>
      <c r="D38" s="159" t="s">
        <v>236</v>
      </c>
    </row>
    <row r="39" spans="1:4" ht="29">
      <c r="A39" s="160" t="s"/>
      <c r="B39" s="160" t="s">
        <v>775</v>
      </c>
      <c r="C39" s="160" t="s"/>
      <c r="D39" s="161" t="s">
        <v>571</v>
      </c>
    </row>
    <row r="40" spans="1:4" ht="29">
      <c r="A40" s="160" t="s"/>
      <c r="B40" s="160" t="s">
        <v>776</v>
      </c>
      <c r="C40" s="160" t="s"/>
      <c r="D40" s="161" t="s">
        <v>571</v>
      </c>
    </row>
    <row r="41" spans="1:4" ht="18.5">
      <c r="A41" s="162" t="s">
        <v>572</v>
      </c>
      <c r="B41" s="162" t="s"/>
      <c r="C41" s="162" t="s"/>
      <c r="D41" s="162" t="s"/>
    </row>
    <row r="42" spans="1:4">
      <c r="A42" s="156" t="s">
        <v>547</v>
      </c>
      <c r="B42" s="157" t="s">
        <v>548</v>
      </c>
      <c r="C42" s="158" t="s">
        <v>549</v>
      </c>
      <c r="D42" s="159" t="s">
        <v>236</v>
      </c>
    </row>
    <row r="43" spans="1:4" ht="29">
      <c r="A43" s="11" t="s"/>
      <c r="B43" s="11" t="s">
        <v>259</v>
      </c>
      <c r="C43" s="11" t="s"/>
      <c r="D43" s="160" t="s">
        <v>573</v>
      </c>
    </row>
    <row r="44" spans="1:4" ht="18.5">
      <c r="A44" s="162" t="s">
        <v>574</v>
      </c>
      <c r="B44" s="162" t="s"/>
      <c r="C44" s="162" t="s"/>
      <c r="D44" s="162" t="s"/>
    </row>
    <row r="45" spans="1:4">
      <c r="A45" s="156" t="s">
        <v>547</v>
      </c>
      <c r="B45" s="157" t="s">
        <v>548</v>
      </c>
      <c r="C45" s="158" t="s">
        <v>549</v>
      </c>
      <c r="D45" s="159" t="s">
        <v>236</v>
      </c>
    </row>
    <row r="46" spans="1:4" ht="29">
      <c r="A46" s="11" t="s"/>
      <c r="B46" s="11" t="s">
        <v>259</v>
      </c>
      <c r="C46" s="11" t="s"/>
      <c r="D46" s="160" t="s">
        <v>575</v>
      </c>
    </row>
    <row r="47" spans="1:4" ht="18.5">
      <c r="A47" s="162" t="s">
        <v>576</v>
      </c>
      <c r="B47" s="162" t="s"/>
      <c r="C47" s="162" t="s"/>
      <c r="D47" s="162" t="s"/>
    </row>
    <row r="48" spans="1:4">
      <c r="A48" s="156" t="s">
        <v>547</v>
      </c>
      <c r="B48" s="157" t="s">
        <v>548</v>
      </c>
      <c r="C48" s="158" t="s">
        <v>549</v>
      </c>
      <c r="D48" s="159" t="s">
        <v>236</v>
      </c>
    </row>
    <row r="49" spans="1:4" ht="43.5">
      <c r="A49" s="11" t="s"/>
      <c r="B49" s="11" t="s">
        <v>259</v>
      </c>
      <c r="C49" s="11" t="s"/>
      <c r="D49" s="160" t="s">
        <v>577</v>
      </c>
    </row>
    <row r="50" spans="1:4" ht="18.5">
      <c r="A50" s="162" t="s">
        <v>578</v>
      </c>
      <c r="B50" s="162" t="s"/>
      <c r="C50" s="162" t="s"/>
      <c r="D50" s="162" t="s"/>
    </row>
    <row r="51" spans="1:4">
      <c r="A51" s="156" t="s">
        <v>547</v>
      </c>
      <c r="B51" s="157" t="s">
        <v>548</v>
      </c>
      <c r="C51" s="158" t="s">
        <v>549</v>
      </c>
      <c r="D51" s="159" t="s">
        <v>236</v>
      </c>
    </row>
    <row r="52" spans="1:4">
      <c r="A52" s="11" t="s">
        <v>475</v>
      </c>
      <c r="B52" s="11" t="s"/>
      <c r="C52" s="11" t="s"/>
      <c r="D52" s="160" t="s"/>
    </row>
    <row r="53" spans="1:4" ht="29">
      <c r="A53" s="11" t="s"/>
      <c r="B53" s="11" t="s">
        <v>579</v>
      </c>
      <c r="C53" s="11" t="s"/>
      <c r="D53" s="160" t="s">
        <v>580</v>
      </c>
    </row>
    <row r="54" spans="1:4">
      <c r="A54" s="11" t="s">
        <v>477</v>
      </c>
      <c r="B54" s="11" t="s"/>
      <c r="C54" s="11" t="s"/>
      <c r="D54" s="160" t="s"/>
    </row>
    <row r="55" spans="1:4">
      <c r="A55" s="11" t="s">
        <v>478</v>
      </c>
      <c r="B55" s="11" t="s"/>
      <c r="C55" s="11" t="s"/>
      <c r="D55" s="160" t="s"/>
    </row>
    <row r="56" spans="1:4">
      <c r="A56" s="11" t="s">
        <v>479</v>
      </c>
      <c r="B56" s="11" t="s"/>
      <c r="C56" s="11" t="s"/>
      <c r="D56" s="160" t="s"/>
    </row>
    <row r="57" spans="1:4">
      <c r="A57" s="11" t="s">
        <v>480</v>
      </c>
      <c r="B57" s="11" t="s"/>
      <c r="C57" s="11" t="s"/>
      <c r="D57" s="160" t="s"/>
    </row>
    <row r="58" spans="1:4">
      <c r="A58" s="11" t="s">
        <v>484</v>
      </c>
      <c r="B58" s="11" t="s"/>
      <c r="C58" s="11" t="s"/>
      <c r="D58" s="160" t="s"/>
    </row>
    <row r="59" spans="1:4">
      <c r="A59" s="11" t="s">
        <v>485</v>
      </c>
      <c r="B59" s="11" t="s"/>
      <c r="C59" s="11" t="s"/>
      <c r="D59" s="160" t="s"/>
    </row>
    <row r="60" spans="1:4">
      <c r="A60" s="11" t="s">
        <v>486</v>
      </c>
      <c r="B60" s="11" t="s"/>
      <c r="C60" s="11" t="s"/>
      <c r="D60" s="160" t="s"/>
    </row>
    <row r="61" spans="1:4">
      <c r="A61" s="11" t="s">
        <v>495</v>
      </c>
      <c r="B61" s="11" t="s"/>
      <c r="C61" s="11" t="s"/>
      <c r="D61" s="160" t="s"/>
    </row>
    <row r="62" spans="1:4" ht="29">
      <c r="A62" s="11" t="s"/>
      <c r="B62" s="11" t="s">
        <v>581</v>
      </c>
      <c r="C62" s="11" t="s"/>
      <c r="D62" s="160" t="s">
        <v>582</v>
      </c>
    </row>
    <row r="63" spans="1:4">
      <c r="A63" s="11" t="s">
        <v>497</v>
      </c>
      <c r="B63" s="11" t="s"/>
      <c r="C63" s="11" t="s"/>
      <c r="D63" s="160" t="s"/>
    </row>
    <row r="64" spans="1:4">
      <c r="A64" s="11" t="s">
        <v>499</v>
      </c>
      <c r="B64" s="11" t="s"/>
      <c r="C64" s="11" t="s"/>
      <c r="D64" s="160" t="s"/>
    </row>
    <row r="65" spans="1:4">
      <c r="A65" s="11" t="s">
        <v>500</v>
      </c>
      <c r="B65" s="11" t="s"/>
      <c r="C65" s="11" t="s"/>
      <c r="D65" s="160" t="s"/>
    </row>
    <row r="66" spans="1:4">
      <c r="A66" s="11" t="s">
        <v>501</v>
      </c>
      <c r="B66" s="11" t="s"/>
      <c r="C66" s="11" t="s"/>
      <c r="D66" s="160" t="s"/>
    </row>
    <row r="67" spans="1:4">
      <c r="A67" s="11" t="s">
        <v>409</v>
      </c>
      <c r="B67" s="11" t="s"/>
      <c r="C67" s="11" t="s"/>
      <c r="D67" s="160" t="s"/>
    </row>
    <row r="68" spans="1:4" ht="18.5">
      <c r="A68" s="162" t="s">
        <v>583</v>
      </c>
      <c r="B68" s="162" t="s"/>
      <c r="C68" s="162" t="s"/>
      <c r="D68" s="162" t="s"/>
    </row>
    <row r="69" spans="1:4">
      <c r="A69" s="156" t="s">
        <v>547</v>
      </c>
      <c r="B69" s="157" t="s">
        <v>548</v>
      </c>
      <c r="C69" s="158" t="s">
        <v>549</v>
      </c>
      <c r="D69" s="159" t="s">
        <v>236</v>
      </c>
    </row>
    <row r="70" spans="1:4" ht="101.5">
      <c r="A70" s="11" t="s"/>
      <c r="B70" s="11" t="s">
        <v>338</v>
      </c>
      <c r="C70" s="11" t="s"/>
      <c r="D70" s="160" t="s">
        <v>584</v>
      </c>
    </row>
    <row r="71" spans="1:4" ht="87">
      <c r="A71" s="11" t="s"/>
      <c r="B71" s="11" t="s">
        <v>287</v>
      </c>
      <c r="C71" s="11" t="s"/>
      <c r="D71" s="160" t="s">
        <v>585</v>
      </c>
    </row>
    <row r="72" spans="1:4" ht="87">
      <c r="A72" s="11" t="s"/>
      <c r="B72" s="11" t="s">
        <v>288</v>
      </c>
      <c r="C72" s="11" t="s"/>
      <c r="D72" s="160" t="s">
        <v>586</v>
      </c>
    </row>
    <row r="73" spans="1:4" ht="159.5">
      <c r="A73" s="11" t="s"/>
      <c r="B73" s="11" t="s">
        <v>389</v>
      </c>
      <c r="C73" s="11" t="s"/>
      <c r="D73" s="160" t="s">
        <v>777</v>
      </c>
    </row>
    <row r="74" spans="1:4" ht="29">
      <c r="A74" s="11" t="s"/>
      <c r="B74" s="11" t="s">
        <v>403</v>
      </c>
      <c r="C74" s="11" t="s"/>
      <c r="D74" s="160" t="s">
        <v>587</v>
      </c>
    </row>
    <row r="75" spans="1:4" ht="29">
      <c r="A75" s="11" t="s"/>
      <c r="B75" s="11" t="s">
        <v>437</v>
      </c>
      <c r="C75" s="11" t="s"/>
      <c r="D75" s="160" t="s">
        <v>778</v>
      </c>
    </row>
    <row r="76" spans="1:4" ht="18.5">
      <c r="A76" s="162" t="s">
        <v>588</v>
      </c>
      <c r="B76" s="162" t="s"/>
      <c r="C76" s="162" t="s"/>
      <c r="D76" s="162" t="s"/>
    </row>
    <row r="77" spans="1:4">
      <c r="A77" s="156" t="s">
        <v>547</v>
      </c>
      <c r="B77" s="157" t="s">
        <v>548</v>
      </c>
      <c r="C77" s="158" t="s">
        <v>549</v>
      </c>
      <c r="D77" s="159" t="s">
        <v>236</v>
      </c>
    </row>
    <row r="78" spans="2:4">
      <c r="B78" s="9" t="s">
        <v>9</v>
      </c>
      <c r="D78" s="166" t="s">
        <v>589</v>
      </c>
    </row>
    <row r="79" spans="2:4">
      <c r="B79" s="9" t="s">
        <v>590</v>
      </c>
      <c r="D79" s="166" t="s">
        <v>591</v>
      </c>
    </row>
    <row r="80" spans="2:4">
      <c r="B80" s="9" t="s">
        <v>12</v>
      </c>
      <c r="D80" s="166" t="s">
        <v>592</v>
      </c>
    </row>
    <row r="81" spans="1:4" ht="18.5">
      <c r="A81" s="162" t="s">
        <v>593</v>
      </c>
      <c r="B81" s="162" t="s"/>
      <c r="C81" s="162" t="s"/>
      <c r="D81" s="162" t="s"/>
    </row>
    <row r="82" spans="1:4">
      <c r="A82" s="156" t="s">
        <v>547</v>
      </c>
      <c r="B82" s="157" t="s">
        <v>548</v>
      </c>
      <c r="C82" s="158" t="s">
        <v>549</v>
      </c>
      <c r="D82" s="159" t="s">
        <v>236</v>
      </c>
    </row>
    <row r="83" spans="2:4">
      <c r="B83" s="9" t="s">
        <v>12</v>
      </c>
      <c r="D83" s="166" t="s">
        <v>594</v>
      </c>
    </row>
    <row r="84" spans="1:4" ht="18.5">
      <c r="A84" s="162" t="s">
        <v>595</v>
      </c>
      <c r="B84" s="162" t="s"/>
      <c r="C84" s="162" t="s"/>
      <c r="D84" s="162" t="s"/>
    </row>
    <row r="85" spans="1:4">
      <c r="A85" s="156" t="s">
        <v>547</v>
      </c>
      <c r="B85" s="157" t="s">
        <v>548</v>
      </c>
      <c r="C85" s="158" t="s">
        <v>549</v>
      </c>
      <c r="D85" s="159" t="s">
        <v>236</v>
      </c>
    </row>
    <row r="86" spans="2:4">
      <c r="B86" s="9" t="s">
        <v>10</v>
      </c>
      <c r="D86" s="166" t="s">
        <v>596</v>
      </c>
    </row>
    <row r="87" spans="1:4" ht="18.5">
      <c r="A87" s="162" t="s">
        <v>597</v>
      </c>
      <c r="B87" s="162" t="s"/>
      <c r="C87" s="162" t="s"/>
      <c r="D87" s="162" t="s"/>
    </row>
    <row r="88" spans="1:4">
      <c r="A88" s="156" t="s">
        <v>547</v>
      </c>
      <c r="B88" s="157" t="s">
        <v>548</v>
      </c>
      <c r="C88" s="158" t="s">
        <v>549</v>
      </c>
      <c r="D88" s="159" t="s">
        <v>236</v>
      </c>
    </row>
    <row r="89" spans="2:4" ht="29">
      <c r="B89" s="9" t="s">
        <v>10</v>
      </c>
      <c r="D89" s="166" t="s">
        <v>598</v>
      </c>
    </row>
    <row r="90" spans="1:4" ht="18.5">
      <c r="A90" s="162" t="s">
        <v>599</v>
      </c>
      <c r="B90" s="162" t="s"/>
      <c r="C90" s="162" t="s"/>
      <c r="D90" s="162" t="s"/>
    </row>
    <row r="91" spans="1:4">
      <c r="A91" s="156" t="s">
        <v>547</v>
      </c>
      <c r="B91" s="157" t="s">
        <v>548</v>
      </c>
      <c r="C91" s="158" t="s">
        <v>549</v>
      </c>
      <c r="D91" s="159" t="s">
        <v>236</v>
      </c>
    </row>
    <row r="92" spans="1:4" ht="362.5">
      <c r="A92" s="160" t="s">
        <v>600</v>
      </c>
      <c r="B92" s="11" t="s">
        <v>601</v>
      </c>
      <c r="C92" s="11" t="s"/>
      <c r="D92" s="160" t="s">
        <v>602</v>
      </c>
    </row>
    <row r="93" spans="1:4" ht="18.5">
      <c r="A93" s="162" t="s">
        <v>603</v>
      </c>
      <c r="B93" s="162" t="s"/>
      <c r="C93" s="162" t="s"/>
      <c r="D93" s="162" t="s"/>
    </row>
    <row r="94" spans="1:4">
      <c r="A94" s="156" t="s">
        <v>547</v>
      </c>
      <c r="B94" s="157" t="s">
        <v>548</v>
      </c>
      <c r="C94" s="158" t="s">
        <v>549</v>
      </c>
      <c r="D94" s="159" t="s">
        <v>236</v>
      </c>
    </row>
    <row r="95" spans="4:4" ht="58">
      <c r="D95" s="166" t="s">
        <v>604</v>
      </c>
    </row>
    <row r="96" spans="1:4" ht="18.5">
      <c r="A96" s="162" t="s">
        <v>605</v>
      </c>
      <c r="B96" s="162" t="s"/>
      <c r="C96" s="162" t="s"/>
      <c r="D96" s="162" t="s"/>
    </row>
    <row r="97" spans="1:4">
      <c r="A97" s="156" t="s">
        <v>547</v>
      </c>
      <c r="B97" s="157" t="s">
        <v>548</v>
      </c>
      <c r="C97" s="158" t="s">
        <v>549</v>
      </c>
      <c r="D97" s="159" t="s">
        <v>236</v>
      </c>
    </row>
    <row r="98" spans="1:4" ht="30" customHeight="true">
      <c r="A98" s="160" t="s">
        <v>779</v>
      </c>
      <c r="B98" s="160" t="s"/>
      <c r="C98" s="167" t="s"/>
      <c r="D98" s="168" t="s">
        <v>606</v>
      </c>
    </row>
    <row r="99" spans="1:4">
      <c r="A99" s="160" t="s"/>
      <c r="B99" s="160" t="s"/>
      <c r="C99" s="167" t="s"/>
      <c r="D99" s="168" t="s"/>
    </row>
    <row r="100" spans="1:4">
      <c r="A100" s="160" t="s"/>
      <c r="B100" s="160" t="s"/>
      <c r="C100" s="167" t="s"/>
      <c r="D100" s="168" t="s"/>
    </row>
    <row r="101" spans="1:4" ht="29">
      <c r="A101" s="160" t="s"/>
      <c r="B101" s="160" t="s">
        <v>780</v>
      </c>
      <c r="C101" s="160" t="s"/>
      <c r="D101" s="161" t="s">
        <v>571</v>
      </c>
    </row>
    <row r="102" spans="1:4" ht="29">
      <c r="A102" s="160" t="s"/>
      <c r="B102" s="160" t="s">
        <v>781</v>
      </c>
      <c r="C102" s="160" t="s"/>
      <c r="D102" s="161" t="s">
        <v>571</v>
      </c>
    </row>
    <row r="103" spans="1:4" ht="29">
      <c r="A103" s="160" t="s"/>
      <c r="B103" s="160" t="s">
        <v>782</v>
      </c>
      <c r="C103" s="160" t="s"/>
      <c r="D103" s="161" t="s">
        <v>571</v>
      </c>
    </row>
    <row r="104" spans="1:4" ht="29">
      <c r="A104" s="160" t="s">
        <v>783</v>
      </c>
      <c r="B104" s="160" t="s"/>
      <c r="C104" s="160" t="s"/>
      <c r="D104" s="161" t="s">
        <v>607</v>
      </c>
    </row>
    <row r="105" spans="1:4">
      <c r="A105" s="160" t="s"/>
      <c r="B105" s="160" t="s"/>
      <c r="C105" s="160" t="s"/>
      <c r="D105" s="161" t="s"/>
    </row>
    <row r="106" spans="1:4" ht="18.5">
      <c r="A106" s="162" t="s">
        <v>608</v>
      </c>
      <c r="B106" s="162" t="s"/>
      <c r="C106" s="162" t="s"/>
      <c r="D106" s="162" t="s"/>
    </row>
    <row r="107" spans="1:4">
      <c r="A107" s="156" t="s">
        <v>547</v>
      </c>
      <c r="B107" s="157" t="s">
        <v>548</v>
      </c>
      <c r="C107" s="158" t="s">
        <v>549</v>
      </c>
      <c r="D107" s="159" t="s">
        <v>236</v>
      </c>
    </row>
    <row r="108" spans="1:4" ht="101.5">
      <c r="A108" s="160" t="s"/>
      <c r="B108" s="160" t="s"/>
      <c r="C108" s="160" t="s">
        <v>609</v>
      </c>
      <c r="D108" s="161" t="s">
        <v>610</v>
      </c>
    </row>
    <row r="109" spans="1:4">
      <c r="A109" s="169" t="s">
        <v>611</v>
      </c>
      <c r="B109" s="169" t="s"/>
      <c r="C109" s="169" t="s"/>
      <c r="D109" s="169" t="s"/>
    </row>
    <row r="110" spans="1:4">
      <c r="A110" s="156" t="s">
        <v>547</v>
      </c>
      <c r="B110" s="157" t="s">
        <v>548</v>
      </c>
      <c r="C110" s="158" t="s">
        <v>549</v>
      </c>
      <c r="D110" s="159" t="s">
        <v>236</v>
      </c>
    </row>
    <row r="111" spans="1:4" ht="159.5">
      <c r="A111" s="160" t="s"/>
      <c r="B111" s="160" t="s"/>
      <c r="C111" s="160" t="s"/>
      <c r="D111" s="161" t="s">
        <v>784</v>
      </c>
    </row>
    <row r="112" spans="1:4" ht="116">
      <c r="A112" s="160" t="s"/>
      <c r="B112" s="160" t="s"/>
      <c r="C112" s="160" t="s"/>
      <c r="D112" s="161" t="s">
        <v>785</v>
      </c>
    </row>
    <row r="113" spans="1:4">
      <c r="A113" s="169" t="s">
        <v>612</v>
      </c>
      <c r="B113" s="169" t="s"/>
      <c r="C113" s="169" t="s"/>
      <c r="D113" s="169" t="s"/>
    </row>
    <row r="114" spans="1:4">
      <c r="A114" s="156" t="s">
        <v>547</v>
      </c>
      <c r="B114" s="157" t="s">
        <v>548</v>
      </c>
      <c r="C114" s="158" t="s">
        <v>549</v>
      </c>
      <c r="D114" s="159" t="s">
        <v>236</v>
      </c>
    </row>
    <row r="115" spans="1:4" ht="72.5">
      <c r="A115" s="160" t="s"/>
      <c r="B115" s="160" t="s"/>
      <c r="C115" s="160" t="s"/>
      <c r="D115" s="161" t="s">
        <v>613</v>
      </c>
    </row>
    <row r="116" spans="1:4">
      <c r="A116" s="169" t="s">
        <v>614</v>
      </c>
      <c r="B116" s="169" t="s"/>
      <c r="C116" s="169" t="s"/>
      <c r="D116" s="169" t="s"/>
    </row>
    <row r="117" spans="1:3">
      <c r="A117" s="156" t="s">
        <v>547</v>
      </c>
      <c r="B117" s="157" t="s">
        <v>548</v>
      </c>
      <c r="C117" s="158" t="s">
        <v>549</v>
      </c>
    </row>
    <row r="118" spans="1:3" ht="29">
      <c r="A118" s="160" t="s">
        <v>786</v>
      </c>
      <c r="B118" s="168" t="s">
        <v>615</v>
      </c>
      <c r="C118" s="168" t="s">
        <v>615</v>
      </c>
    </row>
    <row r="119" spans="1:3" ht="58">
      <c r="A119" s="160" t="s">
        <v>787</v>
      </c>
      <c r="B119" s="168" t="s"/>
      <c r="C119" s="168" t="s"/>
    </row>
    <row r="120" spans="1:3" ht="72.5">
      <c r="A120" s="160" t="s">
        <v>788</v>
      </c>
      <c r="B120" s="168" t="s"/>
      <c r="C120" s="168" t="s"/>
    </row>
    <row r="121" spans="1:3">
      <c r="A121" s="160" t="s"/>
      <c r="B121" s="160" t="s"/>
      <c r="C121" s="160" t="s"/>
    </row>
    <row r="122" spans="1:3">
      <c r="A122" s="160" t="s"/>
      <c r="B122" s="160" t="s"/>
      <c r="C122" s="160" t="s"/>
    </row>
    <row r="123" spans="1:3">
      <c r="A123" s="160" t="s"/>
      <c r="C123" s="160" t="s"/>
    </row>
    <row r="124" spans="1:3">
      <c r="A124" s="160" t="s"/>
      <c r="C124" s="160" t="s"/>
    </row>
  </sheetData>
  <mergeCells count="35">
    <mergeCell ref="A10:D10"/>
    <mergeCell ref="A28:D28"/>
    <mergeCell ref="A25:D25"/>
    <mergeCell ref="A22:D22"/>
    <mergeCell ref="A19:D19"/>
    <mergeCell ref="A13:D13"/>
    <mergeCell ref="A16:D16"/>
    <mergeCell ref="A90:D90"/>
    <mergeCell ref="A31:D31"/>
    <mergeCell ref="B118:B120"/>
    <mergeCell ref="C118:C120"/>
    <mergeCell ref="A113:D113"/>
    <mergeCell ref="A116:D116"/>
    <mergeCell ref="A109:D109"/>
    <mergeCell ref="A84:D84"/>
    <mergeCell ref="A50:D50"/>
    <mergeCell ref="A47:D47"/>
    <mergeCell ref="A37:D37"/>
    <mergeCell ref="A68:D68"/>
    <mergeCell ref="A1:D1"/>
    <mergeCell ref="A4:D4"/>
    <mergeCell ref="A7:D7"/>
    <mergeCell ref="A106:D106"/>
    <mergeCell ref="A96:D96"/>
    <mergeCell ref="A98:A100"/>
    <mergeCell ref="B98:B100"/>
    <mergeCell ref="A34:D34"/>
    <mergeCell ref="A44:D44"/>
    <mergeCell ref="A41:D41"/>
    <mergeCell ref="A76:D76"/>
    <mergeCell ref="A81:D81"/>
    <mergeCell ref="C98:C100"/>
    <mergeCell ref="D98:D100"/>
    <mergeCell ref="A93:D93"/>
    <mergeCell ref="A87:D87"/>
  </mergeCells>
  <pageMargins left="0.7" right="0.7" top="0.75" bottom="0.75" header="0.3" footer="0.3"/>
  <pageSetup paperSize="9" orientation="portrait"/>
  <headerFooter>
    <oddFooter>&amp;C&amp;1#&amp;"Helvetica 75 Bold"&amp;8&amp;KED7D31Orange Restricted</oddFooter>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2025-09-22T14:47:50Z</dcterms:created>
  <dcterms:modified xsi:type="dcterms:W3CDTF">2025-09-22T14:47:50Z</dcterms:modified>
</cp:coreProperties>
</file>